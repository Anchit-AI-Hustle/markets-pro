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ase" sheetId="2" state="visible" r:id="rId4"/>
    <sheet name="Slow" sheetId="3" state="visible" r:id="rId5"/>
    <sheet name="Dead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<sst xmlns="http://schemas.openxmlformats.org/spreadsheetml/2006/main" count="159" uniqueCount="90">
  <si>
    <t xml:space="preserve">ASSUMPTIONS — Candidate A Runway Model Inputs</t>
  </si>
  <si>
    <t xml:space="preserve">Every number used elsewhere in this workbook lives here as its own cell. No other sheet re-types a number — they all reference these cells. See 02-finance/UNIT-ECONOMICS.md and 02-finance/PRICING.md for full derivations. All Rs figures are INR.</t>
  </si>
  <si>
    <t xml:space="preserve">Input</t>
  </si>
  <si>
    <t xml:space="preserve">Value</t>
  </si>
  <si>
    <t xml:space="preserve">Status</t>
  </si>
  <si>
    <t xml:space="preserve">Source / note</t>
  </si>
  <si>
    <t xml:space="preserve">Day 0 (build start date)</t>
  </si>
  <si>
    <t xml:space="preserve">Final</t>
  </si>
  <si>
    <t xml:space="preserve">CHARTER.md / VENTURE-SELECTION.md — 2026-08-19</t>
  </si>
  <si>
    <t xml:space="preserve">Ticket price (Rs / report)</t>
  </si>
  <si>
    <t xml:space="preserve">Provisional</t>
  </si>
  <si>
    <t xml:space="preserve">PRICING.md recommended price = VENTURE-SELECTION.md midpoint of Rs 15,000-20,000; unvalidated against a real buyer — see RISKS.md Risk #2 test</t>
  </si>
  <si>
    <t xml:space="preserve">AI/LLM API cost per report (Rs)</t>
  </si>
  <si>
    <t xml:space="preserve">UNIT-ECONOMICS.md: Anthropic Claude Sonnet 5 pricing $3/$15 per 1M tokens is Final (Anthropic pricing table); ~200K input / ~12K output token estimate per report is Provisional (not yet measured)</t>
  </si>
  <si>
    <t xml:space="preserve">Payment processing fee (% of ticket)</t>
  </si>
  <si>
    <t xml:space="preserve">Provisional / Blocked</t>
  </si>
  <si>
    <t xml:space="preserve">Razorpay international-card rate 3% + 18% GST = 3.54% (buyer is US/UK per ICP.md). CHARTER.md requires this be confirmed with the operator in Phase 2 — payment rail is not yet set up.</t>
  </si>
  <si>
    <t xml:space="preserve">Landing page + domain hosting (Rs/month)</t>
  </si>
  <si>
    <t xml:space="preserve">Carrd Pro Standard $19/yr + ~$12/yr domain, converted at USD/INR 95.7, /12 months</t>
  </si>
  <si>
    <t xml:space="preserve">Cold-outbound tool cost (Rs/month)</t>
  </si>
  <si>
    <t xml:space="preserve">Instantly.ai Growth plan ~$47/mo at USD/INR 95.7; consistent with RISKS.md's Rs 3,000-5,000/150-touch estimate</t>
  </si>
  <si>
    <t xml:space="preserve">One-time build/tooling spend (Rs, Month 1 only)</t>
  </si>
  <si>
    <t xml:space="preserve">VENTURE-SELECTION.md '&lt;Rs 50,000' estimate — no vendor quotes obtained yet</t>
  </si>
  <si>
    <t xml:space="preserve">Capital ceiling — lower bound (Rs)</t>
  </si>
  <si>
    <t xml:space="preserve">CHARTER.md: 'Capital at risk: Rs 2-3L total'</t>
  </si>
  <si>
    <t xml:space="preserve">Capital ceiling — upper bound (Rs)</t>
  </si>
  <si>
    <t xml:space="preserve">Monthly revenue success/kill bar (Rs)</t>
  </si>
  <si>
    <t xml:space="preserve">CHARTER.md success bar: 'Rs 1L/month recurring'</t>
  </si>
  <si>
    <t xml:space="preserve">Operator other-income runway (months from 9-Sep-2026)</t>
  </si>
  <si>
    <t xml:space="preserve">Final (floor)</t>
  </si>
  <si>
    <t xml:space="preserve">VENTURE-SELECTION.md Section 1, operator answer #1: 'Covered for 6+ months past 9 Sep 2026'; 6 used as the conservative floor, not the exact figure</t>
  </si>
  <si>
    <t xml:space="preserve">USD/INR exchange rate used</t>
  </si>
  <si>
    <t xml:space="preserve">Final (spot, 18-Aug-2026)</t>
  </si>
  <si>
    <t xml:space="preserve">Market spot rate, ~$1 = Rs 95.7-95.7, sourced 2026-08-19 (see UNIT-ECONOMICS.md Sources). Flag: VENTURE-SELECTION.md's own Rs15-20k &lt;-&gt; $180-240 conversion implies an older/lower ~83 rate — stale, not corrected in that source file per charter rule 8.</t>
  </si>
  <si>
    <t xml:space="preserve">Absolute kill date (month-3 revenue deadline)</t>
  </si>
  <si>
    <t xml:space="preserve">VENTURE-SELECTION.md Section 6: 19 November 2026 (end of month 3 from Day 0)</t>
  </si>
  <si>
    <t xml:space="preserve">MARKET.md SCENARIO INPUTS (bottom-up, from 01-strategy/MARKET.md Section 2, Step 6 — not re-derived here)</t>
  </si>
  <si>
    <t xml:space="preserve">Scenario</t>
  </si>
  <si>
    <t xml:space="preserve">Touches / month</t>
  </si>
  <si>
    <t xml:space="preserve">Close rate</t>
  </si>
  <si>
    <t xml:space="preserve">Sales / month = touches x close rate</t>
  </si>
  <si>
    <t xml:space="preserve">Optimistic</t>
  </si>
  <si>
    <t xml:space="preserve">Base case</t>
  </si>
  <si>
    <t xml:space="preserve">Pessimistic</t>
  </si>
  <si>
    <t xml:space="preserve">CHARTER-MAPPED SCENARIOS (Base/Slow/Dead labels per task instructions; formulas only, nothing retyped)</t>
  </si>
  <si>
    <t xml:space="preserve">Model scenario</t>
  </si>
  <si>
    <t xml:space="preserve">Mapping rule</t>
  </si>
  <si>
    <t xml:space="preserve">Base</t>
  </si>
  <si>
    <t xml:space="preserve">Simple average of MARKET.md Optimistic + Base case ('optimistic-to-base blend', per task instructions) — the realistic 'if this works' case</t>
  </si>
  <si>
    <t xml:space="preserve">Slow</t>
  </si>
  <si>
    <t xml:space="preserve">Equal to MARKET.md Base case, unchanged</t>
  </si>
  <si>
    <t xml:space="preserve">Dead</t>
  </si>
  <si>
    <t xml:space="preserve">Equal to MARKET.md Pessimistic case, unchanged — this scenario triggers the kill criteria</t>
  </si>
  <si>
    <t xml:space="preserve">Methodology note: touches/month and close rate are held constant across all 12 months in every scenario sheet — no growth curve or learning-curve improvement is assumed, since no data exists to support one (CHARTER standing rule 2: never invent data). This is a static monthly run-rate model, not a ramp model.</t>
  </si>
  <si>
    <t xml:space="preserve">BASE — MARKET.md optimistic-to-base blend (the realistic 'if this works' case)</t>
  </si>
  <si>
    <t xml:space="preserve">All cells below are formulas referencing the Assumptions sheet. Touches/close rate held constant across the 12-month horizon (see Assumptions methodology note).</t>
  </si>
  <si>
    <t xml:space="preserve">Month index</t>
  </si>
  <si>
    <t xml:space="preserve">Month-end date</t>
  </si>
  <si>
    <t xml:space="preserve">Outbound touches / month</t>
  </si>
  <si>
    <t xml:space="preserve">Close rate (contact -&gt; paid)</t>
  </si>
  <si>
    <t xml:space="preserve">Expected sales (touches x close rate)</t>
  </si>
  <si>
    <t xml:space="preserve">Revenue (Rs)</t>
  </si>
  <si>
    <t xml:space="preserve">AI/LLM variable cost (Rs)</t>
  </si>
  <si>
    <t xml:space="preserve">Payment processing cost (Rs)</t>
  </si>
  <si>
    <t xml:space="preserve">Fixed monthly costs — hosting + outbound tool (Rs)</t>
  </si>
  <si>
    <t xml:space="preserve">One-time build/tooling cost (Rs, Month 1 only)</t>
  </si>
  <si>
    <t xml:space="preserve">Total costs (Rs)</t>
  </si>
  <si>
    <t xml:space="preserve">Net cash flow (Rs)</t>
  </si>
  <si>
    <t xml:space="preserve">Cumulative net cash flow (Rs)</t>
  </si>
  <si>
    <t xml:space="preserve">Ceiling balance @ Rs 2L start (Rs)</t>
  </si>
  <si>
    <t xml:space="preserve">Ceiling balance @ Rs 3L start (Rs)</t>
  </si>
  <si>
    <t xml:space="preserve">Revenue &gt;= Rs 1,00,000 flag</t>
  </si>
  <si>
    <t xml:space="preserve">Balance &lt; 0 flag (Rs 2L ceiling)</t>
  </si>
  <si>
    <t xml:space="preserve">Balance &lt; 0 flag (Rs 3L ceiling)</t>
  </si>
  <si>
    <t xml:space="preserve">SUMMARY — crossing points (all via INDEX/MATCH against the flag rows above)</t>
  </si>
  <si>
    <t xml:space="preserve">First month revenue &gt;= Rs 1,00,000</t>
  </si>
  <si>
    <t xml:space="preserve">Calendar date of that month-end</t>
  </si>
  <si>
    <t xml:space="preserve">First month cumulative balance &lt; 0 (Rs 2L ceiling)</t>
  </si>
  <si>
    <t xml:space="preserve">Calendar date of that crossing (Rs 2L)</t>
  </si>
  <si>
    <t xml:space="preserve">First month cumulative balance &lt; 0 (Rs 3L ceiling)</t>
  </si>
  <si>
    <t xml:space="preserve">Calendar date of that crossing (Rs 3L)</t>
  </si>
  <si>
    <t xml:space="preserve">SLOW — MARKET.md base case (harder-ask-adjusted cold-outbound benchmark)</t>
  </si>
  <si>
    <t xml:space="preserve">DEAD — MARKET.md pessimistic case (triggers the kill criteria)</t>
  </si>
  <si>
    <t xml:space="preserve">SUMMARY — headline crossing points across scenarios</t>
  </si>
  <si>
    <t xml:space="preserve">Every cell below links to a scenario sheet's own Summary block — nothing retyped. See 02-finance/KILL-CRITERIA.md for the calendared kill checkpoints derived from this model.</t>
  </si>
  <si>
    <t xml:space="preserve">First month revenue &gt;= Rs1L</t>
  </si>
  <si>
    <t xml:space="preserve">Date</t>
  </si>
  <si>
    <t xml:space="preserve">First month balance&lt;0 (Rs2L)</t>
  </si>
  <si>
    <t xml:space="preserve">First month balance&lt;0 (Rs3L)</t>
  </si>
  <si>
    <t xml:space="preserve">Reading this table: 'Base' is MARKET.md's optimistic-to-base blend; 'Slow' is MARKET.md's base case; 'Dead' is MARKET.md's pessimistic case. Ceiling balances start from Rs 2L / Rs 3L respectively and add cumulative net cash flow — a negative value means the scenario has burned through that starting capital.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</si>
</sst>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&quot;Rs &quot;#,##0"/>
    <numFmt numFmtId="167" formatCode="0.00%"/>
    <numFmt numFmtId="168" formatCode="0"/>
    <numFmt numFmtId="169" formatCode="0.00"/>
    <numFmt numFmtId="170" formatCode="&quot;Rs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4" t="s">
        <v>6</v>
      </c>
      <c r="B5" s="5" t="n">
        <f aca="false">DATE(2026,8,19)</f>
        <v>46253</v>
      </c>
      <c r="C5" s="4" t="s">
        <v>7</v>
      </c>
      <c r="D5" s="6" t="s">
        <v>8</v>
      </c>
    </row>
    <row r="6" customFormat="false" ht="30" hidden="false" customHeight="true" outlineLevel="0" collapsed="false">
      <c r="A6" s="4" t="s">
        <v>9</v>
      </c>
      <c r="B6" s="7" t="n">
        <v>17500</v>
      </c>
      <c r="C6" s="4" t="s">
        <v>10</v>
      </c>
      <c r="D6" s="6" t="s">
        <v>11</v>
      </c>
    </row>
    <row r="7" customFormat="false" ht="30" hidden="false" customHeight="true" outlineLevel="0" collapsed="false">
      <c r="A7" s="4" t="s">
        <v>12</v>
      </c>
      <c r="B7" s="8" t="n">
        <v>250</v>
      </c>
      <c r="C7" s="4" t="s">
        <v>10</v>
      </c>
      <c r="D7" s="6" t="s">
        <v>13</v>
      </c>
    </row>
    <row r="8" customFormat="false" ht="30" hidden="false" customHeight="true" outlineLevel="0" collapsed="false">
      <c r="A8" s="4" t="s">
        <v>14</v>
      </c>
      <c r="B8" s="9" t="n">
        <v>0.0354</v>
      </c>
      <c r="C8" s="4" t="s">
        <v>15</v>
      </c>
      <c r="D8" s="6" t="s">
        <v>16</v>
      </c>
    </row>
    <row r="9" customFormat="false" ht="30" hidden="false" customHeight="true" outlineLevel="0" collapsed="false">
      <c r="A9" s="4" t="s">
        <v>17</v>
      </c>
      <c r="B9" s="8" t="n">
        <v>250</v>
      </c>
      <c r="C9" s="4" t="s">
        <v>10</v>
      </c>
      <c r="D9" s="6" t="s">
        <v>18</v>
      </c>
    </row>
    <row r="10" customFormat="false" ht="30" hidden="false" customHeight="true" outlineLevel="0" collapsed="false">
      <c r="A10" s="4" t="s">
        <v>19</v>
      </c>
      <c r="B10" s="8" t="n">
        <v>4500</v>
      </c>
      <c r="C10" s="4" t="s">
        <v>10</v>
      </c>
      <c r="D10" s="6" t="s">
        <v>20</v>
      </c>
    </row>
    <row r="11" customFormat="false" ht="30" hidden="false" customHeight="true" outlineLevel="0" collapsed="false">
      <c r="A11" s="4" t="s">
        <v>21</v>
      </c>
      <c r="B11" s="8" t="n">
        <v>45000</v>
      </c>
      <c r="C11" s="4" t="s">
        <v>10</v>
      </c>
      <c r="D11" s="6" t="s">
        <v>22</v>
      </c>
    </row>
    <row r="12" customFormat="false" ht="30" hidden="false" customHeight="true" outlineLevel="0" collapsed="false">
      <c r="A12" s="4" t="s">
        <v>23</v>
      </c>
      <c r="B12" s="8" t="n">
        <v>200000</v>
      </c>
      <c r="C12" s="4" t="s">
        <v>7</v>
      </c>
      <c r="D12" s="6" t="s">
        <v>24</v>
      </c>
    </row>
    <row r="13" customFormat="false" ht="30" hidden="false" customHeight="true" outlineLevel="0" collapsed="false">
      <c r="A13" s="4" t="s">
        <v>25</v>
      </c>
      <c r="B13" s="8" t="n">
        <v>300000</v>
      </c>
      <c r="C13" s="4" t="s">
        <v>7</v>
      </c>
      <c r="D13" s="6" t="s">
        <v>24</v>
      </c>
    </row>
    <row r="14" customFormat="false" ht="30" hidden="false" customHeight="true" outlineLevel="0" collapsed="false">
      <c r="A14" s="4" t="s">
        <v>26</v>
      </c>
      <c r="B14" s="7" t="n">
        <v>100000</v>
      </c>
      <c r="C14" s="4" t="s">
        <v>7</v>
      </c>
      <c r="D14" s="6" t="s">
        <v>27</v>
      </c>
    </row>
    <row r="15" customFormat="false" ht="30" hidden="false" customHeight="true" outlineLevel="0" collapsed="false">
      <c r="A15" s="4" t="s">
        <v>28</v>
      </c>
      <c r="B15" s="10" t="n">
        <v>6</v>
      </c>
      <c r="C15" s="4" t="s">
        <v>29</v>
      </c>
      <c r="D15" s="6" t="s">
        <v>30</v>
      </c>
    </row>
    <row r="16" customFormat="false" ht="30" hidden="false" customHeight="true" outlineLevel="0" collapsed="false">
      <c r="A16" s="4" t="s">
        <v>31</v>
      </c>
      <c r="B16" s="11" t="n">
        <v>95.7</v>
      </c>
      <c r="C16" s="4" t="s">
        <v>32</v>
      </c>
      <c r="D16" s="6" t="s">
        <v>33</v>
      </c>
    </row>
    <row r="17" customFormat="false" ht="30" hidden="false" customHeight="true" outlineLevel="0" collapsed="false">
      <c r="A17" s="4" t="s">
        <v>34</v>
      </c>
      <c r="B17" s="5" t="n">
        <f aca="false">DATE(2026,11,19)</f>
        <v>46345</v>
      </c>
      <c r="C17" s="4" t="s">
        <v>7</v>
      </c>
      <c r="D17" s="6" t="s">
        <v>35</v>
      </c>
    </row>
    <row r="19" customFormat="false" ht="15" hidden="false" customHeight="false" outlineLevel="0" collapsed="false">
      <c r="A19" s="12" t="s">
        <v>36</v>
      </c>
      <c r="B19" s="13"/>
      <c r="C19" s="13"/>
      <c r="D19" s="13"/>
    </row>
    <row r="20" customFormat="false" ht="15" hidden="false" customHeight="false" outlineLevel="0" collapsed="false">
      <c r="A20" s="3" t="s">
        <v>37</v>
      </c>
      <c r="B20" s="3" t="s">
        <v>38</v>
      </c>
      <c r="C20" s="3" t="s">
        <v>39</v>
      </c>
      <c r="D20" s="3" t="s">
        <v>40</v>
      </c>
    </row>
    <row r="21" customFormat="false" ht="15" hidden="false" customHeight="false" outlineLevel="0" collapsed="false">
      <c r="A21" s="4" t="s">
        <v>41</v>
      </c>
      <c r="B21" s="10" t="n">
        <v>250</v>
      </c>
      <c r="C21" s="14" t="n">
        <v>0.03</v>
      </c>
      <c r="D21" s="15" t="n">
        <f aca="false">B21*C21</f>
        <v>7.5</v>
      </c>
    </row>
    <row r="22" customFormat="false" ht="15" hidden="false" customHeight="false" outlineLevel="0" collapsed="false">
      <c r="A22" s="4" t="s">
        <v>42</v>
      </c>
      <c r="B22" s="10" t="n">
        <v>200</v>
      </c>
      <c r="C22" s="14" t="n">
        <v>0.008</v>
      </c>
      <c r="D22" s="15" t="n">
        <f aca="false">B22*C22</f>
        <v>1.6</v>
      </c>
    </row>
    <row r="23" customFormat="false" ht="15" hidden="false" customHeight="false" outlineLevel="0" collapsed="false">
      <c r="A23" s="4" t="s">
        <v>43</v>
      </c>
      <c r="B23" s="10" t="n">
        <v>150</v>
      </c>
      <c r="C23" s="14" t="n">
        <v>0.002</v>
      </c>
      <c r="D23" s="15" t="n">
        <f aca="false">B23*C23</f>
        <v>0.3</v>
      </c>
    </row>
    <row r="25" customFormat="false" ht="15" hidden="false" customHeight="false" outlineLevel="0" collapsed="false">
      <c r="A25" s="12" t="s">
        <v>44</v>
      </c>
      <c r="B25" s="13"/>
      <c r="C25" s="13"/>
      <c r="D25" s="13"/>
    </row>
    <row r="26" customFormat="false" ht="15" hidden="false" customHeight="false" outlineLevel="0" collapsed="false">
      <c r="A26" s="3" t="s">
        <v>45</v>
      </c>
      <c r="B26" s="3" t="s">
        <v>38</v>
      </c>
      <c r="C26" s="3" t="s">
        <v>39</v>
      </c>
      <c r="D26" s="3" t="s">
        <v>46</v>
      </c>
    </row>
    <row r="27" customFormat="false" ht="26.85" hidden="false" customHeight="false" outlineLevel="0" collapsed="false">
      <c r="A27" s="16" t="s">
        <v>47</v>
      </c>
      <c r="B27" s="15" t="n">
        <f aca="false">AVERAGE(B21,B22)</f>
        <v>225</v>
      </c>
      <c r="C27" s="17" t="n">
        <f aca="false">AVERAGE(C21,C22)</f>
        <v>0.019</v>
      </c>
      <c r="D27" s="18" t="s">
        <v>48</v>
      </c>
    </row>
    <row r="28" customFormat="false" ht="15" hidden="false" customHeight="false" outlineLevel="0" collapsed="false">
      <c r="A28" s="16" t="s">
        <v>49</v>
      </c>
      <c r="B28" s="15" t="n">
        <f aca="false">B22</f>
        <v>200</v>
      </c>
      <c r="C28" s="17" t="n">
        <f aca="false">C22</f>
        <v>0.008</v>
      </c>
      <c r="D28" s="18" t="s">
        <v>50</v>
      </c>
    </row>
    <row r="29" customFormat="false" ht="26.85" hidden="false" customHeight="false" outlineLevel="0" collapsed="false">
      <c r="A29" s="16" t="s">
        <v>51</v>
      </c>
      <c r="B29" s="15" t="n">
        <f aca="false">B23</f>
        <v>150</v>
      </c>
      <c r="C29" s="17" t="n">
        <f aca="false">C23</f>
        <v>0.002</v>
      </c>
      <c r="D29" s="18" t="s">
        <v>52</v>
      </c>
    </row>
    <row r="31" customFormat="false" ht="39.75" hidden="false" customHeight="true" outlineLevel="0" collapsed="false">
      <c r="A31" s="19" t="s">
        <v>53</v>
      </c>
      <c r="B31" s="19"/>
      <c r="C31" s="19"/>
      <c r="D31" s="19"/>
    </row>
  </sheetData>
  <mergeCells count="1"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24" hidden="false" customHeight="true" outlineLevel="0" collapsed="false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customFormat="false" ht="15" hidden="false" customHeight="false" outlineLevel="0" collapsed="false">
      <c r="A4" s="4" t="s">
        <v>56</v>
      </c>
      <c r="B4" s="22" t="n">
        <v>1</v>
      </c>
      <c r="C4" s="22" t="n">
        <v>2</v>
      </c>
      <c r="D4" s="22" t="n">
        <v>3</v>
      </c>
      <c r="E4" s="22" t="n">
        <v>4</v>
      </c>
      <c r="F4" s="22" t="n">
        <v>5</v>
      </c>
      <c r="G4" s="22" t="n">
        <v>6</v>
      </c>
      <c r="H4" s="22" t="n">
        <v>7</v>
      </c>
      <c r="I4" s="22" t="n">
        <v>8</v>
      </c>
      <c r="J4" s="22" t="n">
        <v>9</v>
      </c>
      <c r="K4" s="22" t="n">
        <v>10</v>
      </c>
      <c r="L4" s="22" t="n">
        <v>11</v>
      </c>
      <c r="M4" s="22" t="n">
        <v>12</v>
      </c>
    </row>
    <row r="5" customFormat="false" ht="15" hidden="false" customHeight="false" outlineLevel="0" collapsed="false">
      <c r="A5" s="4" t="s">
        <v>57</v>
      </c>
      <c r="B5" s="23" t="n">
        <f aca="false">EDATE(Assumptions!$B$5,B4)</f>
        <v>46284</v>
      </c>
      <c r="C5" s="23" t="n">
        <f aca="false">EDATE(Assumptions!$B$5,C4)</f>
        <v>46314</v>
      </c>
      <c r="D5" s="23" t="n">
        <f aca="false">EDATE(Assumptions!$B$5,D4)</f>
        <v>46345</v>
      </c>
      <c r="E5" s="23" t="n">
        <f aca="false">EDATE(Assumptions!$B$5,E4)</f>
        <v>46375</v>
      </c>
      <c r="F5" s="23" t="n">
        <f aca="false">EDATE(Assumptions!$B$5,F4)</f>
        <v>46406</v>
      </c>
      <c r="G5" s="23" t="n">
        <f aca="false">EDATE(Assumptions!$B$5,G4)</f>
        <v>46437</v>
      </c>
      <c r="H5" s="23" t="n">
        <f aca="false">EDATE(Assumptions!$B$5,H4)</f>
        <v>46465</v>
      </c>
      <c r="I5" s="23" t="n">
        <f aca="false">EDATE(Assumptions!$B$5,I4)</f>
        <v>46496</v>
      </c>
      <c r="J5" s="23" t="n">
        <f aca="false">EDATE(Assumptions!$B$5,J4)</f>
        <v>46526</v>
      </c>
      <c r="K5" s="23" t="n">
        <f aca="false">EDATE(Assumptions!$B$5,K4)</f>
        <v>46557</v>
      </c>
      <c r="L5" s="23" t="n">
        <f aca="false">EDATE(Assumptions!$B$5,L4)</f>
        <v>46587</v>
      </c>
      <c r="M5" s="23" t="n">
        <f aca="false">EDATE(Assumptions!$B$5,M4)</f>
        <v>46618</v>
      </c>
    </row>
    <row r="6" customFormat="false" ht="15" hidden="false" customHeight="false" outlineLevel="0" collapsed="false">
      <c r="A6" s="4" t="s">
        <v>58</v>
      </c>
      <c r="B6" s="24" t="n">
        <f aca="false">Assumptions!$B$27</f>
        <v>225</v>
      </c>
      <c r="C6" s="24" t="n">
        <f aca="false">Assumptions!$B$27</f>
        <v>225</v>
      </c>
      <c r="D6" s="24" t="n">
        <f aca="false">Assumptions!$B$27</f>
        <v>225</v>
      </c>
      <c r="E6" s="24" t="n">
        <f aca="false">Assumptions!$B$27</f>
        <v>225</v>
      </c>
      <c r="F6" s="24" t="n">
        <f aca="false">Assumptions!$B$27</f>
        <v>225</v>
      </c>
      <c r="G6" s="24" t="n">
        <f aca="false">Assumptions!$B$27</f>
        <v>225</v>
      </c>
      <c r="H6" s="24" t="n">
        <f aca="false">Assumptions!$B$27</f>
        <v>225</v>
      </c>
      <c r="I6" s="24" t="n">
        <f aca="false">Assumptions!$B$27</f>
        <v>225</v>
      </c>
      <c r="J6" s="24" t="n">
        <f aca="false">Assumptions!$B$27</f>
        <v>225</v>
      </c>
      <c r="K6" s="24" t="n">
        <f aca="false">Assumptions!$B$27</f>
        <v>225</v>
      </c>
      <c r="L6" s="24" t="n">
        <f aca="false">Assumptions!$B$27</f>
        <v>225</v>
      </c>
      <c r="M6" s="24" t="n">
        <f aca="false">Assumptions!$B$27</f>
        <v>225</v>
      </c>
    </row>
    <row r="7" customFormat="false" ht="15" hidden="false" customHeight="false" outlineLevel="0" collapsed="false">
      <c r="A7" s="4" t="s">
        <v>59</v>
      </c>
      <c r="B7" s="25" t="n">
        <f aca="false">Assumptions!$C$27</f>
        <v>0.019</v>
      </c>
      <c r="C7" s="25" t="n">
        <f aca="false">Assumptions!$C$27</f>
        <v>0.019</v>
      </c>
      <c r="D7" s="25" t="n">
        <f aca="false">Assumptions!$C$27</f>
        <v>0.019</v>
      </c>
      <c r="E7" s="25" t="n">
        <f aca="false">Assumptions!$C$27</f>
        <v>0.019</v>
      </c>
      <c r="F7" s="25" t="n">
        <f aca="false">Assumptions!$C$27</f>
        <v>0.019</v>
      </c>
      <c r="G7" s="25" t="n">
        <f aca="false">Assumptions!$C$27</f>
        <v>0.019</v>
      </c>
      <c r="H7" s="25" t="n">
        <f aca="false">Assumptions!$C$27</f>
        <v>0.019</v>
      </c>
      <c r="I7" s="25" t="n">
        <f aca="false">Assumptions!$C$27</f>
        <v>0.019</v>
      </c>
      <c r="J7" s="25" t="n">
        <f aca="false">Assumptions!$C$27</f>
        <v>0.019</v>
      </c>
      <c r="K7" s="25" t="n">
        <f aca="false">Assumptions!$C$27</f>
        <v>0.019</v>
      </c>
      <c r="L7" s="25" t="n">
        <f aca="false">Assumptions!$C$27</f>
        <v>0.019</v>
      </c>
      <c r="M7" s="25" t="n">
        <f aca="false">Assumptions!$C$27</f>
        <v>0.019</v>
      </c>
    </row>
    <row r="8" customFormat="false" ht="15" hidden="false" customHeight="false" outlineLevel="0" collapsed="false">
      <c r="A8" s="4" t="s">
        <v>60</v>
      </c>
      <c r="B8" s="15" t="n">
        <f aca="false">B6*B7</f>
        <v>4.275</v>
      </c>
      <c r="C8" s="15" t="n">
        <f aca="false">C6*C7</f>
        <v>4.275</v>
      </c>
      <c r="D8" s="15" t="n">
        <f aca="false">D6*D7</f>
        <v>4.275</v>
      </c>
      <c r="E8" s="15" t="n">
        <f aca="false">E6*E7</f>
        <v>4.275</v>
      </c>
      <c r="F8" s="15" t="n">
        <f aca="false">F6*F7</f>
        <v>4.275</v>
      </c>
      <c r="G8" s="15" t="n">
        <f aca="false">G6*G7</f>
        <v>4.275</v>
      </c>
      <c r="H8" s="15" t="n">
        <f aca="false">H6*H7</f>
        <v>4.275</v>
      </c>
      <c r="I8" s="15" t="n">
        <f aca="false">I6*I7</f>
        <v>4.275</v>
      </c>
      <c r="J8" s="15" t="n">
        <f aca="false">J6*J7</f>
        <v>4.275</v>
      </c>
      <c r="K8" s="15" t="n">
        <f aca="false">K6*K7</f>
        <v>4.275</v>
      </c>
      <c r="L8" s="15" t="n">
        <f aca="false">L6*L7</f>
        <v>4.275</v>
      </c>
      <c r="M8" s="15" t="n">
        <f aca="false">M6*M7</f>
        <v>4.275</v>
      </c>
    </row>
    <row r="9" customFormat="false" ht="15" hidden="false" customHeight="false" outlineLevel="0" collapsed="false">
      <c r="A9" s="4" t="s">
        <v>61</v>
      </c>
      <c r="B9" s="26" t="n">
        <f aca="false">B8*Assumptions!$B$6</f>
        <v>74812.5</v>
      </c>
      <c r="C9" s="26" t="n">
        <f aca="false">C8*Assumptions!$B$6</f>
        <v>74812.5</v>
      </c>
      <c r="D9" s="26" t="n">
        <f aca="false">D8*Assumptions!$B$6</f>
        <v>74812.5</v>
      </c>
      <c r="E9" s="26" t="n">
        <f aca="false">E8*Assumptions!$B$6</f>
        <v>74812.5</v>
      </c>
      <c r="F9" s="26" t="n">
        <f aca="false">F8*Assumptions!$B$6</f>
        <v>74812.5</v>
      </c>
      <c r="G9" s="26" t="n">
        <f aca="false">G8*Assumptions!$B$6</f>
        <v>74812.5</v>
      </c>
      <c r="H9" s="26" t="n">
        <f aca="false">H8*Assumptions!$B$6</f>
        <v>74812.5</v>
      </c>
      <c r="I9" s="26" t="n">
        <f aca="false">I8*Assumptions!$B$6</f>
        <v>74812.5</v>
      </c>
      <c r="J9" s="26" t="n">
        <f aca="false">J8*Assumptions!$B$6</f>
        <v>74812.5</v>
      </c>
      <c r="K9" s="26" t="n">
        <f aca="false">K8*Assumptions!$B$6</f>
        <v>74812.5</v>
      </c>
      <c r="L9" s="26" t="n">
        <f aca="false">L8*Assumptions!$B$6</f>
        <v>74812.5</v>
      </c>
      <c r="M9" s="26" t="n">
        <f aca="false">M8*Assumptions!$B$6</f>
        <v>74812.5</v>
      </c>
    </row>
    <row r="10" customFormat="false" ht="15" hidden="false" customHeight="false" outlineLevel="0" collapsed="false">
      <c r="A10" s="4" t="s">
        <v>62</v>
      </c>
      <c r="B10" s="26" t="n">
        <f aca="false">B8*Assumptions!$B$7</f>
        <v>1068.75</v>
      </c>
      <c r="C10" s="26" t="n">
        <f aca="false">C8*Assumptions!$B$7</f>
        <v>1068.75</v>
      </c>
      <c r="D10" s="26" t="n">
        <f aca="false">D8*Assumptions!$B$7</f>
        <v>1068.75</v>
      </c>
      <c r="E10" s="26" t="n">
        <f aca="false">E8*Assumptions!$B$7</f>
        <v>1068.75</v>
      </c>
      <c r="F10" s="26" t="n">
        <f aca="false">F8*Assumptions!$B$7</f>
        <v>1068.75</v>
      </c>
      <c r="G10" s="26" t="n">
        <f aca="false">G8*Assumptions!$B$7</f>
        <v>1068.75</v>
      </c>
      <c r="H10" s="26" t="n">
        <f aca="false">H8*Assumptions!$B$7</f>
        <v>1068.75</v>
      </c>
      <c r="I10" s="26" t="n">
        <f aca="false">I8*Assumptions!$B$7</f>
        <v>1068.75</v>
      </c>
      <c r="J10" s="26" t="n">
        <f aca="false">J8*Assumptions!$B$7</f>
        <v>1068.75</v>
      </c>
      <c r="K10" s="26" t="n">
        <f aca="false">K8*Assumptions!$B$7</f>
        <v>1068.75</v>
      </c>
      <c r="L10" s="26" t="n">
        <f aca="false">L8*Assumptions!$B$7</f>
        <v>1068.75</v>
      </c>
      <c r="M10" s="26" t="n">
        <f aca="false">M8*Assumptions!$B$7</f>
        <v>1068.75</v>
      </c>
    </row>
    <row r="11" customFormat="false" ht="15" hidden="false" customHeight="false" outlineLevel="0" collapsed="false">
      <c r="A11" s="4" t="s">
        <v>63</v>
      </c>
      <c r="B11" s="26" t="n">
        <f aca="false">B9*Assumptions!$B$8</f>
        <v>2648.3625</v>
      </c>
      <c r="C11" s="26" t="n">
        <f aca="false">C9*Assumptions!$B$8</f>
        <v>2648.3625</v>
      </c>
      <c r="D11" s="26" t="n">
        <f aca="false">D9*Assumptions!$B$8</f>
        <v>2648.3625</v>
      </c>
      <c r="E11" s="26" t="n">
        <f aca="false">E9*Assumptions!$B$8</f>
        <v>2648.3625</v>
      </c>
      <c r="F11" s="26" t="n">
        <f aca="false">F9*Assumptions!$B$8</f>
        <v>2648.3625</v>
      </c>
      <c r="G11" s="26" t="n">
        <f aca="false">G9*Assumptions!$B$8</f>
        <v>2648.3625</v>
      </c>
      <c r="H11" s="26" t="n">
        <f aca="false">H9*Assumptions!$B$8</f>
        <v>2648.3625</v>
      </c>
      <c r="I11" s="26" t="n">
        <f aca="false">I9*Assumptions!$B$8</f>
        <v>2648.3625</v>
      </c>
      <c r="J11" s="26" t="n">
        <f aca="false">J9*Assumptions!$B$8</f>
        <v>2648.3625</v>
      </c>
      <c r="K11" s="26" t="n">
        <f aca="false">K9*Assumptions!$B$8</f>
        <v>2648.3625</v>
      </c>
      <c r="L11" s="26" t="n">
        <f aca="false">L9*Assumptions!$B$8</f>
        <v>2648.3625</v>
      </c>
      <c r="M11" s="26" t="n">
        <f aca="false">M9*Assumptions!$B$8</f>
        <v>2648.3625</v>
      </c>
    </row>
    <row r="12" customFormat="false" ht="15" hidden="false" customHeight="false" outlineLevel="0" collapsed="false">
      <c r="A12" s="4" t="s">
        <v>64</v>
      </c>
      <c r="B12" s="27" t="n">
        <f aca="false">Assumptions!$B$9+Assumptions!$B$10</f>
        <v>4750</v>
      </c>
      <c r="C12" s="27" t="n">
        <f aca="false">Assumptions!$B$9+Assumptions!$B$10</f>
        <v>4750</v>
      </c>
      <c r="D12" s="27" t="n">
        <f aca="false">Assumptions!$B$9+Assumptions!$B$10</f>
        <v>4750</v>
      </c>
      <c r="E12" s="27" t="n">
        <f aca="false">Assumptions!$B$9+Assumptions!$B$10</f>
        <v>4750</v>
      </c>
      <c r="F12" s="27" t="n">
        <f aca="false">Assumptions!$B$9+Assumptions!$B$10</f>
        <v>4750</v>
      </c>
      <c r="G12" s="27" t="n">
        <f aca="false">Assumptions!$B$9+Assumptions!$B$10</f>
        <v>4750</v>
      </c>
      <c r="H12" s="27" t="n">
        <f aca="false">Assumptions!$B$9+Assumptions!$B$10</f>
        <v>4750</v>
      </c>
      <c r="I12" s="27" t="n">
        <f aca="false">Assumptions!$B$9+Assumptions!$B$10</f>
        <v>4750</v>
      </c>
      <c r="J12" s="27" t="n">
        <f aca="false">Assumptions!$B$9+Assumptions!$B$10</f>
        <v>4750</v>
      </c>
      <c r="K12" s="27" t="n">
        <f aca="false">Assumptions!$B$9+Assumptions!$B$10</f>
        <v>4750</v>
      </c>
      <c r="L12" s="27" t="n">
        <f aca="false">Assumptions!$B$9+Assumptions!$B$10</f>
        <v>4750</v>
      </c>
      <c r="M12" s="27" t="n">
        <f aca="false">Assumptions!$B$9+Assumptions!$B$10</f>
        <v>4750</v>
      </c>
    </row>
    <row r="13" customFormat="false" ht="15" hidden="false" customHeight="false" outlineLevel="0" collapsed="false">
      <c r="A13" s="4" t="s">
        <v>65</v>
      </c>
      <c r="B13" s="28" t="n">
        <f aca="false">IF(B4=1,Assumptions!$B$11,0)</f>
        <v>45000</v>
      </c>
      <c r="C13" s="28" t="n">
        <f aca="false">IF(C4=1,Assumptions!$B$11,0)</f>
        <v>0</v>
      </c>
      <c r="D13" s="28" t="n">
        <f aca="false">IF(D4=1,Assumptions!$B$11,0)</f>
        <v>0</v>
      </c>
      <c r="E13" s="28" t="n">
        <f aca="false">IF(E4=1,Assumptions!$B$11,0)</f>
        <v>0</v>
      </c>
      <c r="F13" s="28" t="n">
        <f aca="false">IF(F4=1,Assumptions!$B$11,0)</f>
        <v>0</v>
      </c>
      <c r="G13" s="28" t="n">
        <f aca="false">IF(G4=1,Assumptions!$B$11,0)</f>
        <v>0</v>
      </c>
      <c r="H13" s="28" t="n">
        <f aca="false">IF(H4=1,Assumptions!$B$11,0)</f>
        <v>0</v>
      </c>
      <c r="I13" s="28" t="n">
        <f aca="false">IF(I4=1,Assumptions!$B$11,0)</f>
        <v>0</v>
      </c>
      <c r="J13" s="28" t="n">
        <f aca="false">IF(J4=1,Assumptions!$B$11,0)</f>
        <v>0</v>
      </c>
      <c r="K13" s="28" t="n">
        <f aca="false">IF(K4=1,Assumptions!$B$11,0)</f>
        <v>0</v>
      </c>
      <c r="L13" s="28" t="n">
        <f aca="false">IF(L4=1,Assumptions!$B$11,0)</f>
        <v>0</v>
      </c>
      <c r="M13" s="28" t="n">
        <f aca="false">IF(M4=1,Assumptions!$B$11,0)</f>
        <v>0</v>
      </c>
    </row>
    <row r="14" customFormat="false" ht="15" hidden="false" customHeight="false" outlineLevel="0" collapsed="false">
      <c r="A14" s="4" t="s">
        <v>66</v>
      </c>
      <c r="B14" s="29" t="n">
        <f aca="false">SUM(B10:B13)</f>
        <v>53467.1125</v>
      </c>
      <c r="C14" s="29" t="n">
        <f aca="false">SUM(C10:C13)</f>
        <v>8467.1125</v>
      </c>
      <c r="D14" s="29" t="n">
        <f aca="false">SUM(D10:D13)</f>
        <v>8467.1125</v>
      </c>
      <c r="E14" s="29" t="n">
        <f aca="false">SUM(E10:E13)</f>
        <v>8467.1125</v>
      </c>
      <c r="F14" s="29" t="n">
        <f aca="false">SUM(F10:F13)</f>
        <v>8467.1125</v>
      </c>
      <c r="G14" s="29" t="n">
        <f aca="false">SUM(G10:G13)</f>
        <v>8467.1125</v>
      </c>
      <c r="H14" s="29" t="n">
        <f aca="false">SUM(H10:H13)</f>
        <v>8467.1125</v>
      </c>
      <c r="I14" s="29" t="n">
        <f aca="false">SUM(I10:I13)</f>
        <v>8467.1125</v>
      </c>
      <c r="J14" s="29" t="n">
        <f aca="false">SUM(J10:J13)</f>
        <v>8467.1125</v>
      </c>
      <c r="K14" s="29" t="n">
        <f aca="false">SUM(K10:K13)</f>
        <v>8467.1125</v>
      </c>
      <c r="L14" s="29" t="n">
        <f aca="false">SUM(L10:L13)</f>
        <v>8467.1125</v>
      </c>
      <c r="M14" s="29" t="n">
        <f aca="false">SUM(M10:M13)</f>
        <v>8467.1125</v>
      </c>
    </row>
    <row r="15" customFormat="false" ht="15" hidden="false" customHeight="false" outlineLevel="0" collapsed="false">
      <c r="A15" s="4" t="s">
        <v>67</v>
      </c>
      <c r="B15" s="29" t="n">
        <f aca="false">B9-B14</f>
        <v>21345.3875</v>
      </c>
      <c r="C15" s="29" t="n">
        <f aca="false">C9-C14</f>
        <v>66345.3875</v>
      </c>
      <c r="D15" s="29" t="n">
        <f aca="false">D9-D14</f>
        <v>66345.3875</v>
      </c>
      <c r="E15" s="29" t="n">
        <f aca="false">E9-E14</f>
        <v>66345.3875</v>
      </c>
      <c r="F15" s="29" t="n">
        <f aca="false">F9-F14</f>
        <v>66345.3875</v>
      </c>
      <c r="G15" s="29" t="n">
        <f aca="false">G9-G14</f>
        <v>66345.3875</v>
      </c>
      <c r="H15" s="29" t="n">
        <f aca="false">H9-H14</f>
        <v>66345.3875</v>
      </c>
      <c r="I15" s="29" t="n">
        <f aca="false">I9-I14</f>
        <v>66345.3875</v>
      </c>
      <c r="J15" s="29" t="n">
        <f aca="false">J9-J14</f>
        <v>66345.3875</v>
      </c>
      <c r="K15" s="29" t="n">
        <f aca="false">K9-K14</f>
        <v>66345.3875</v>
      </c>
      <c r="L15" s="29" t="n">
        <f aca="false">L9-L14</f>
        <v>66345.3875</v>
      </c>
      <c r="M15" s="29" t="n">
        <f aca="false">M9-M14</f>
        <v>66345.3875</v>
      </c>
    </row>
    <row r="16" customFormat="false" ht="15" hidden="false" customHeight="false" outlineLevel="0" collapsed="false">
      <c r="A16" s="4" t="s">
        <v>68</v>
      </c>
      <c r="B16" s="29" t="n">
        <f aca="false">B15</f>
        <v>21345.3875</v>
      </c>
      <c r="C16" s="29" t="n">
        <f aca="false">B16+C15</f>
        <v>87690.775</v>
      </c>
      <c r="D16" s="29" t="n">
        <f aca="false">C16+D15</f>
        <v>154036.1625</v>
      </c>
      <c r="E16" s="29" t="n">
        <f aca="false">D16+E15</f>
        <v>220381.55</v>
      </c>
      <c r="F16" s="29" t="n">
        <f aca="false">E16+F15</f>
        <v>286726.9375</v>
      </c>
      <c r="G16" s="29" t="n">
        <f aca="false">F16+G15</f>
        <v>353072.325</v>
      </c>
      <c r="H16" s="29" t="n">
        <f aca="false">G16+H15</f>
        <v>419417.7125</v>
      </c>
      <c r="I16" s="29" t="n">
        <f aca="false">H16+I15</f>
        <v>485763.1</v>
      </c>
      <c r="J16" s="29" t="n">
        <f aca="false">I16+J15</f>
        <v>552108.4875</v>
      </c>
      <c r="K16" s="29" t="n">
        <f aca="false">J16+K15</f>
        <v>618453.875</v>
      </c>
      <c r="L16" s="29" t="n">
        <f aca="false">K16+L15</f>
        <v>684799.2625</v>
      </c>
      <c r="M16" s="29" t="n">
        <f aca="false">L16+M15</f>
        <v>751144.65</v>
      </c>
    </row>
    <row r="17" customFormat="false" ht="15" hidden="false" customHeight="false" outlineLevel="0" collapsed="false">
      <c r="A17" s="4" t="s">
        <v>69</v>
      </c>
      <c r="B17" s="26" t="n">
        <f aca="false">Assumptions!$B$12+B16</f>
        <v>221345.3875</v>
      </c>
      <c r="C17" s="26" t="n">
        <f aca="false">Assumptions!$B$12+C16</f>
        <v>287690.775</v>
      </c>
      <c r="D17" s="26" t="n">
        <f aca="false">Assumptions!$B$12+D16</f>
        <v>354036.1625</v>
      </c>
      <c r="E17" s="26" t="n">
        <f aca="false">Assumptions!$B$12+E16</f>
        <v>420381.55</v>
      </c>
      <c r="F17" s="26" t="n">
        <f aca="false">Assumptions!$B$12+F16</f>
        <v>486726.9375</v>
      </c>
      <c r="G17" s="26" t="n">
        <f aca="false">Assumptions!$B$12+G16</f>
        <v>553072.325</v>
      </c>
      <c r="H17" s="26" t="n">
        <f aca="false">Assumptions!$B$12+H16</f>
        <v>619417.7125</v>
      </c>
      <c r="I17" s="26" t="n">
        <f aca="false">Assumptions!$B$12+I16</f>
        <v>685763.1</v>
      </c>
      <c r="J17" s="26" t="n">
        <f aca="false">Assumptions!$B$12+J16</f>
        <v>752108.4875</v>
      </c>
      <c r="K17" s="26" t="n">
        <f aca="false">Assumptions!$B$12+K16</f>
        <v>818453.875</v>
      </c>
      <c r="L17" s="26" t="n">
        <f aca="false">Assumptions!$B$12+L16</f>
        <v>884799.2625</v>
      </c>
      <c r="M17" s="26" t="n">
        <f aca="false">Assumptions!$B$12+M16</f>
        <v>951144.65</v>
      </c>
    </row>
    <row r="18" customFormat="false" ht="15" hidden="false" customHeight="false" outlineLevel="0" collapsed="false">
      <c r="A18" s="4" t="s">
        <v>70</v>
      </c>
      <c r="B18" s="26" t="n">
        <f aca="false">Assumptions!$B$13+B16</f>
        <v>321345.3875</v>
      </c>
      <c r="C18" s="26" t="n">
        <f aca="false">Assumptions!$B$13+C16</f>
        <v>387690.775</v>
      </c>
      <c r="D18" s="26" t="n">
        <f aca="false">Assumptions!$B$13+D16</f>
        <v>454036.1625</v>
      </c>
      <c r="E18" s="26" t="n">
        <f aca="false">Assumptions!$B$13+E16</f>
        <v>520381.55</v>
      </c>
      <c r="F18" s="26" t="n">
        <f aca="false">Assumptions!$B$13+F16</f>
        <v>586726.9375</v>
      </c>
      <c r="G18" s="26" t="n">
        <f aca="false">Assumptions!$B$13+G16</f>
        <v>653072.325</v>
      </c>
      <c r="H18" s="26" t="n">
        <f aca="false">Assumptions!$B$13+H16</f>
        <v>719417.7125</v>
      </c>
      <c r="I18" s="26" t="n">
        <f aca="false">Assumptions!$B$13+I16</f>
        <v>785763.1</v>
      </c>
      <c r="J18" s="26" t="n">
        <f aca="false">Assumptions!$B$13+J16</f>
        <v>852108.4875</v>
      </c>
      <c r="K18" s="26" t="n">
        <f aca="false">Assumptions!$B$13+K16</f>
        <v>918453.875</v>
      </c>
      <c r="L18" s="26" t="n">
        <f aca="false">Assumptions!$B$13+L16</f>
        <v>984799.2625</v>
      </c>
      <c r="M18" s="26" t="n">
        <f aca="false">Assumptions!$B$13+M16</f>
        <v>1051144.65</v>
      </c>
    </row>
    <row r="19" customFormat="false" ht="15" hidden="false" customHeight="false" outlineLevel="0" collapsed="false">
      <c r="A19" s="4" t="s">
        <v>71</v>
      </c>
      <c r="B19" s="22" t="n">
        <f aca="false">IF(B9&gt;=Assumptions!$B$14,1,0)</f>
        <v>0</v>
      </c>
      <c r="C19" s="22" t="n">
        <f aca="false">IF(C9&gt;=Assumptions!$B$14,1,0)</f>
        <v>0</v>
      </c>
      <c r="D19" s="22" t="n">
        <f aca="false">IF(D9&gt;=Assumptions!$B$14,1,0)</f>
        <v>0</v>
      </c>
      <c r="E19" s="22" t="n">
        <f aca="false">IF(E9&gt;=Assumptions!$B$14,1,0)</f>
        <v>0</v>
      </c>
      <c r="F19" s="22" t="n">
        <f aca="false">IF(F9&gt;=Assumptions!$B$14,1,0)</f>
        <v>0</v>
      </c>
      <c r="G19" s="22" t="n">
        <f aca="false">IF(G9&gt;=Assumptions!$B$14,1,0)</f>
        <v>0</v>
      </c>
      <c r="H19" s="22" t="n">
        <f aca="false">IF(H9&gt;=Assumptions!$B$14,1,0)</f>
        <v>0</v>
      </c>
      <c r="I19" s="22" t="n">
        <f aca="false">IF(I9&gt;=Assumptions!$B$14,1,0)</f>
        <v>0</v>
      </c>
      <c r="J19" s="22" t="n">
        <f aca="false">IF(J9&gt;=Assumptions!$B$14,1,0)</f>
        <v>0</v>
      </c>
      <c r="K19" s="22" t="n">
        <f aca="false">IF(K9&gt;=Assumptions!$B$14,1,0)</f>
        <v>0</v>
      </c>
      <c r="L19" s="22" t="n">
        <f aca="false">IF(L9&gt;=Assumptions!$B$14,1,0)</f>
        <v>0</v>
      </c>
      <c r="M19" s="22" t="n">
        <f aca="false">IF(M9&gt;=Assumptions!$B$14,1,0)</f>
        <v>0</v>
      </c>
    </row>
    <row r="20" customFormat="false" ht="15" hidden="false" customHeight="false" outlineLevel="0" collapsed="false">
      <c r="A20" s="4" t="s">
        <v>72</v>
      </c>
      <c r="B20" s="22" t="n">
        <f aca="false">IF(B17&lt;0,1,0)</f>
        <v>0</v>
      </c>
      <c r="C20" s="22" t="n">
        <f aca="false">IF(C17&lt;0,1,0)</f>
        <v>0</v>
      </c>
      <c r="D20" s="22" t="n">
        <f aca="false">IF(D17&lt;0,1,0)</f>
        <v>0</v>
      </c>
      <c r="E20" s="22" t="n">
        <f aca="false">IF(E17&lt;0,1,0)</f>
        <v>0</v>
      </c>
      <c r="F20" s="22" t="n">
        <f aca="false">IF(F17&lt;0,1,0)</f>
        <v>0</v>
      </c>
      <c r="G20" s="22" t="n">
        <f aca="false">IF(G17&lt;0,1,0)</f>
        <v>0</v>
      </c>
      <c r="H20" s="22" t="n">
        <f aca="false">IF(H17&lt;0,1,0)</f>
        <v>0</v>
      </c>
      <c r="I20" s="22" t="n">
        <f aca="false">IF(I17&lt;0,1,0)</f>
        <v>0</v>
      </c>
      <c r="J20" s="22" t="n">
        <f aca="false">IF(J17&lt;0,1,0)</f>
        <v>0</v>
      </c>
      <c r="K20" s="22" t="n">
        <f aca="false">IF(K17&lt;0,1,0)</f>
        <v>0</v>
      </c>
      <c r="L20" s="22" t="n">
        <f aca="false">IF(L17&lt;0,1,0)</f>
        <v>0</v>
      </c>
      <c r="M20" s="22" t="n">
        <f aca="false">IF(M17&lt;0,1,0)</f>
        <v>0</v>
      </c>
    </row>
    <row r="21" customFormat="false" ht="15" hidden="false" customHeight="false" outlineLevel="0" collapsed="false">
      <c r="A21" s="4" t="s">
        <v>73</v>
      </c>
      <c r="B21" s="22" t="n">
        <f aca="false">IF(B18&lt;0,1,0)</f>
        <v>0</v>
      </c>
      <c r="C21" s="22" t="n">
        <f aca="false">IF(C18&lt;0,1,0)</f>
        <v>0</v>
      </c>
      <c r="D21" s="22" t="n">
        <f aca="false">IF(D18&lt;0,1,0)</f>
        <v>0</v>
      </c>
      <c r="E21" s="22" t="n">
        <f aca="false">IF(E18&lt;0,1,0)</f>
        <v>0</v>
      </c>
      <c r="F21" s="22" t="n">
        <f aca="false">IF(F18&lt;0,1,0)</f>
        <v>0</v>
      </c>
      <c r="G21" s="22" t="n">
        <f aca="false">IF(G18&lt;0,1,0)</f>
        <v>0</v>
      </c>
      <c r="H21" s="22" t="n">
        <f aca="false">IF(H18&lt;0,1,0)</f>
        <v>0</v>
      </c>
      <c r="I21" s="22" t="n">
        <f aca="false">IF(I18&lt;0,1,0)</f>
        <v>0</v>
      </c>
      <c r="J21" s="22" t="n">
        <f aca="false">IF(J18&lt;0,1,0)</f>
        <v>0</v>
      </c>
      <c r="K21" s="22" t="n">
        <f aca="false">IF(K18&lt;0,1,0)</f>
        <v>0</v>
      </c>
      <c r="L21" s="22" t="n">
        <f aca="false">IF(L18&lt;0,1,0)</f>
        <v>0</v>
      </c>
      <c r="M21" s="22" t="n">
        <f aca="false">IF(M18&lt;0,1,0)</f>
        <v>0</v>
      </c>
    </row>
    <row r="23" customFormat="false" ht="15" hidden="false" customHeight="false" outlineLevel="0" collapsed="false">
      <c r="A23" s="30" t="s">
        <v>74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customFormat="false" ht="15" hidden="false" customHeight="false" outlineLevel="0" collapsed="false">
      <c r="A24" s="4" t="s">
        <v>75</v>
      </c>
      <c r="B24" s="16" t="str">
        <f aca="false">IFERROR(INDEX(B4:M4,MATCH(1,B19:M19,0)),"Not reached in 12 months")</f>
        <v>Not reached in 12 months</v>
      </c>
    </row>
    <row r="25" customFormat="false" ht="15" hidden="false" customHeight="false" outlineLevel="0" collapsed="false">
      <c r="A25" s="4" t="s">
        <v>76</v>
      </c>
      <c r="B25" s="31" t="str">
        <f aca="false">IFERROR(INDEX(B5:M5,MATCH(1,B19:M19,0)),"N/A")</f>
        <v>N/A</v>
      </c>
    </row>
    <row r="26" customFormat="false" ht="15" hidden="false" customHeight="false" outlineLevel="0" collapsed="false">
      <c r="A26" s="4" t="s">
        <v>77</v>
      </c>
      <c r="B26" s="16" t="str">
        <f aca="false">IFERROR(INDEX(B4:M4,MATCH(1,B20:M20,0)),"Stays solvent through month 12")</f>
        <v>Stays solvent through month 12</v>
      </c>
    </row>
    <row r="27" customFormat="false" ht="15" hidden="false" customHeight="false" outlineLevel="0" collapsed="false">
      <c r="A27" s="4" t="s">
        <v>78</v>
      </c>
      <c r="B27" s="31" t="str">
        <f aca="false">IFERROR(INDEX(B5:M5,MATCH(1,B20:M20,0)),"N/A")</f>
        <v>N/A</v>
      </c>
    </row>
    <row r="28" customFormat="false" ht="15" hidden="false" customHeight="false" outlineLevel="0" collapsed="false">
      <c r="A28" s="4" t="s">
        <v>79</v>
      </c>
      <c r="B28" s="16" t="str">
        <f aca="false">IFERROR(INDEX(B4:M4,MATCH(1,B21:M21,0)),"Stays solvent through month 12")</f>
        <v>Stays solvent through month 12</v>
      </c>
    </row>
    <row r="29" customFormat="false" ht="15" hidden="false" customHeight="false" outlineLevel="0" collapsed="false">
      <c r="A29" s="4" t="s">
        <v>80</v>
      </c>
      <c r="B29" s="31" t="str">
        <f aca="false">IFERROR(INDEX(B5:M5,MATCH(1,B21:M21,0)),"N/A")</f>
        <v>N/A</v>
      </c>
    </row>
  </sheetData>
  <mergeCells count="3">
    <mergeCell ref="A1:M1"/>
    <mergeCell ref="A2:M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20" t="s">
        <v>81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24" hidden="false" customHeight="true" outlineLevel="0" collapsed="false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customFormat="false" ht="15" hidden="false" customHeight="false" outlineLevel="0" collapsed="false">
      <c r="A4" s="4" t="s">
        <v>56</v>
      </c>
      <c r="B4" s="22" t="n">
        <v>1</v>
      </c>
      <c r="C4" s="22" t="n">
        <v>2</v>
      </c>
      <c r="D4" s="22" t="n">
        <v>3</v>
      </c>
      <c r="E4" s="22" t="n">
        <v>4</v>
      </c>
      <c r="F4" s="22" t="n">
        <v>5</v>
      </c>
      <c r="G4" s="22" t="n">
        <v>6</v>
      </c>
      <c r="H4" s="22" t="n">
        <v>7</v>
      </c>
      <c r="I4" s="22" t="n">
        <v>8</v>
      </c>
      <c r="J4" s="22" t="n">
        <v>9</v>
      </c>
      <c r="K4" s="22" t="n">
        <v>10</v>
      </c>
      <c r="L4" s="22" t="n">
        <v>11</v>
      </c>
      <c r="M4" s="22" t="n">
        <v>12</v>
      </c>
    </row>
    <row r="5" customFormat="false" ht="15" hidden="false" customHeight="false" outlineLevel="0" collapsed="false">
      <c r="A5" s="4" t="s">
        <v>57</v>
      </c>
      <c r="B5" s="23" t="n">
        <f aca="false">EDATE(Assumptions!$B$5,B4)</f>
        <v>46284</v>
      </c>
      <c r="C5" s="23" t="n">
        <f aca="false">EDATE(Assumptions!$B$5,C4)</f>
        <v>46314</v>
      </c>
      <c r="D5" s="23" t="n">
        <f aca="false">EDATE(Assumptions!$B$5,D4)</f>
        <v>46345</v>
      </c>
      <c r="E5" s="23" t="n">
        <f aca="false">EDATE(Assumptions!$B$5,E4)</f>
        <v>46375</v>
      </c>
      <c r="F5" s="23" t="n">
        <f aca="false">EDATE(Assumptions!$B$5,F4)</f>
        <v>46406</v>
      </c>
      <c r="G5" s="23" t="n">
        <f aca="false">EDATE(Assumptions!$B$5,G4)</f>
        <v>46437</v>
      </c>
      <c r="H5" s="23" t="n">
        <f aca="false">EDATE(Assumptions!$B$5,H4)</f>
        <v>46465</v>
      </c>
      <c r="I5" s="23" t="n">
        <f aca="false">EDATE(Assumptions!$B$5,I4)</f>
        <v>46496</v>
      </c>
      <c r="J5" s="23" t="n">
        <f aca="false">EDATE(Assumptions!$B$5,J4)</f>
        <v>46526</v>
      </c>
      <c r="K5" s="23" t="n">
        <f aca="false">EDATE(Assumptions!$B$5,K4)</f>
        <v>46557</v>
      </c>
      <c r="L5" s="23" t="n">
        <f aca="false">EDATE(Assumptions!$B$5,L4)</f>
        <v>46587</v>
      </c>
      <c r="M5" s="23" t="n">
        <f aca="false">EDATE(Assumptions!$B$5,M4)</f>
        <v>46618</v>
      </c>
    </row>
    <row r="6" customFormat="false" ht="15" hidden="false" customHeight="false" outlineLevel="0" collapsed="false">
      <c r="A6" s="4" t="s">
        <v>58</v>
      </c>
      <c r="B6" s="24" t="n">
        <f aca="false">Assumptions!$B$28</f>
        <v>200</v>
      </c>
      <c r="C6" s="24" t="n">
        <f aca="false">Assumptions!$B$28</f>
        <v>200</v>
      </c>
      <c r="D6" s="24" t="n">
        <f aca="false">Assumptions!$B$28</f>
        <v>200</v>
      </c>
      <c r="E6" s="24" t="n">
        <f aca="false">Assumptions!$B$28</f>
        <v>200</v>
      </c>
      <c r="F6" s="24" t="n">
        <f aca="false">Assumptions!$B$28</f>
        <v>200</v>
      </c>
      <c r="G6" s="24" t="n">
        <f aca="false">Assumptions!$B$28</f>
        <v>200</v>
      </c>
      <c r="H6" s="24" t="n">
        <f aca="false">Assumptions!$B$28</f>
        <v>200</v>
      </c>
      <c r="I6" s="24" t="n">
        <f aca="false">Assumptions!$B$28</f>
        <v>200</v>
      </c>
      <c r="J6" s="24" t="n">
        <f aca="false">Assumptions!$B$28</f>
        <v>200</v>
      </c>
      <c r="K6" s="24" t="n">
        <f aca="false">Assumptions!$B$28</f>
        <v>200</v>
      </c>
      <c r="L6" s="24" t="n">
        <f aca="false">Assumptions!$B$28</f>
        <v>200</v>
      </c>
      <c r="M6" s="24" t="n">
        <f aca="false">Assumptions!$B$28</f>
        <v>200</v>
      </c>
    </row>
    <row r="7" customFormat="false" ht="15" hidden="false" customHeight="false" outlineLevel="0" collapsed="false">
      <c r="A7" s="4" t="s">
        <v>59</v>
      </c>
      <c r="B7" s="25" t="n">
        <f aca="false">Assumptions!$C$28</f>
        <v>0.008</v>
      </c>
      <c r="C7" s="25" t="n">
        <f aca="false">Assumptions!$C$28</f>
        <v>0.008</v>
      </c>
      <c r="D7" s="25" t="n">
        <f aca="false">Assumptions!$C$28</f>
        <v>0.008</v>
      </c>
      <c r="E7" s="25" t="n">
        <f aca="false">Assumptions!$C$28</f>
        <v>0.008</v>
      </c>
      <c r="F7" s="25" t="n">
        <f aca="false">Assumptions!$C$28</f>
        <v>0.008</v>
      </c>
      <c r="G7" s="25" t="n">
        <f aca="false">Assumptions!$C$28</f>
        <v>0.008</v>
      </c>
      <c r="H7" s="25" t="n">
        <f aca="false">Assumptions!$C$28</f>
        <v>0.008</v>
      </c>
      <c r="I7" s="25" t="n">
        <f aca="false">Assumptions!$C$28</f>
        <v>0.008</v>
      </c>
      <c r="J7" s="25" t="n">
        <f aca="false">Assumptions!$C$28</f>
        <v>0.008</v>
      </c>
      <c r="K7" s="25" t="n">
        <f aca="false">Assumptions!$C$28</f>
        <v>0.008</v>
      </c>
      <c r="L7" s="25" t="n">
        <f aca="false">Assumptions!$C$28</f>
        <v>0.008</v>
      </c>
      <c r="M7" s="25" t="n">
        <f aca="false">Assumptions!$C$28</f>
        <v>0.008</v>
      </c>
    </row>
    <row r="8" customFormat="false" ht="15" hidden="false" customHeight="false" outlineLevel="0" collapsed="false">
      <c r="A8" s="4" t="s">
        <v>60</v>
      </c>
      <c r="B8" s="15" t="n">
        <f aca="false">B6*B7</f>
        <v>1.6</v>
      </c>
      <c r="C8" s="15" t="n">
        <f aca="false">C6*C7</f>
        <v>1.6</v>
      </c>
      <c r="D8" s="15" t="n">
        <f aca="false">D6*D7</f>
        <v>1.6</v>
      </c>
      <c r="E8" s="15" t="n">
        <f aca="false">E6*E7</f>
        <v>1.6</v>
      </c>
      <c r="F8" s="15" t="n">
        <f aca="false">F6*F7</f>
        <v>1.6</v>
      </c>
      <c r="G8" s="15" t="n">
        <f aca="false">G6*G7</f>
        <v>1.6</v>
      </c>
      <c r="H8" s="15" t="n">
        <f aca="false">H6*H7</f>
        <v>1.6</v>
      </c>
      <c r="I8" s="15" t="n">
        <f aca="false">I6*I7</f>
        <v>1.6</v>
      </c>
      <c r="J8" s="15" t="n">
        <f aca="false">J6*J7</f>
        <v>1.6</v>
      </c>
      <c r="K8" s="15" t="n">
        <f aca="false">K6*K7</f>
        <v>1.6</v>
      </c>
      <c r="L8" s="15" t="n">
        <f aca="false">L6*L7</f>
        <v>1.6</v>
      </c>
      <c r="M8" s="15" t="n">
        <f aca="false">M6*M7</f>
        <v>1.6</v>
      </c>
    </row>
    <row r="9" customFormat="false" ht="15" hidden="false" customHeight="false" outlineLevel="0" collapsed="false">
      <c r="A9" s="4" t="s">
        <v>61</v>
      </c>
      <c r="B9" s="26" t="n">
        <f aca="false">B8*Assumptions!$B$6</f>
        <v>28000</v>
      </c>
      <c r="C9" s="26" t="n">
        <f aca="false">C8*Assumptions!$B$6</f>
        <v>28000</v>
      </c>
      <c r="D9" s="26" t="n">
        <f aca="false">D8*Assumptions!$B$6</f>
        <v>28000</v>
      </c>
      <c r="E9" s="26" t="n">
        <f aca="false">E8*Assumptions!$B$6</f>
        <v>28000</v>
      </c>
      <c r="F9" s="26" t="n">
        <f aca="false">F8*Assumptions!$B$6</f>
        <v>28000</v>
      </c>
      <c r="G9" s="26" t="n">
        <f aca="false">G8*Assumptions!$B$6</f>
        <v>28000</v>
      </c>
      <c r="H9" s="26" t="n">
        <f aca="false">H8*Assumptions!$B$6</f>
        <v>28000</v>
      </c>
      <c r="I9" s="26" t="n">
        <f aca="false">I8*Assumptions!$B$6</f>
        <v>28000</v>
      </c>
      <c r="J9" s="26" t="n">
        <f aca="false">J8*Assumptions!$B$6</f>
        <v>28000</v>
      </c>
      <c r="K9" s="26" t="n">
        <f aca="false">K8*Assumptions!$B$6</f>
        <v>28000</v>
      </c>
      <c r="L9" s="26" t="n">
        <f aca="false">L8*Assumptions!$B$6</f>
        <v>28000</v>
      </c>
      <c r="M9" s="26" t="n">
        <f aca="false">M8*Assumptions!$B$6</f>
        <v>28000</v>
      </c>
    </row>
    <row r="10" customFormat="false" ht="15" hidden="false" customHeight="false" outlineLevel="0" collapsed="false">
      <c r="A10" s="4" t="s">
        <v>62</v>
      </c>
      <c r="B10" s="26" t="n">
        <f aca="false">B8*Assumptions!$B$7</f>
        <v>400</v>
      </c>
      <c r="C10" s="26" t="n">
        <f aca="false">C8*Assumptions!$B$7</f>
        <v>400</v>
      </c>
      <c r="D10" s="26" t="n">
        <f aca="false">D8*Assumptions!$B$7</f>
        <v>400</v>
      </c>
      <c r="E10" s="26" t="n">
        <f aca="false">E8*Assumptions!$B$7</f>
        <v>400</v>
      </c>
      <c r="F10" s="26" t="n">
        <f aca="false">F8*Assumptions!$B$7</f>
        <v>400</v>
      </c>
      <c r="G10" s="26" t="n">
        <f aca="false">G8*Assumptions!$B$7</f>
        <v>400</v>
      </c>
      <c r="H10" s="26" t="n">
        <f aca="false">H8*Assumptions!$B$7</f>
        <v>400</v>
      </c>
      <c r="I10" s="26" t="n">
        <f aca="false">I8*Assumptions!$B$7</f>
        <v>400</v>
      </c>
      <c r="J10" s="26" t="n">
        <f aca="false">J8*Assumptions!$B$7</f>
        <v>400</v>
      </c>
      <c r="K10" s="26" t="n">
        <f aca="false">K8*Assumptions!$B$7</f>
        <v>400</v>
      </c>
      <c r="L10" s="26" t="n">
        <f aca="false">L8*Assumptions!$B$7</f>
        <v>400</v>
      </c>
      <c r="M10" s="26" t="n">
        <f aca="false">M8*Assumptions!$B$7</f>
        <v>400</v>
      </c>
    </row>
    <row r="11" customFormat="false" ht="15" hidden="false" customHeight="false" outlineLevel="0" collapsed="false">
      <c r="A11" s="4" t="s">
        <v>63</v>
      </c>
      <c r="B11" s="26" t="n">
        <f aca="false">B9*Assumptions!$B$8</f>
        <v>991.2</v>
      </c>
      <c r="C11" s="26" t="n">
        <f aca="false">C9*Assumptions!$B$8</f>
        <v>991.2</v>
      </c>
      <c r="D11" s="26" t="n">
        <f aca="false">D9*Assumptions!$B$8</f>
        <v>991.2</v>
      </c>
      <c r="E11" s="26" t="n">
        <f aca="false">E9*Assumptions!$B$8</f>
        <v>991.2</v>
      </c>
      <c r="F11" s="26" t="n">
        <f aca="false">F9*Assumptions!$B$8</f>
        <v>991.2</v>
      </c>
      <c r="G11" s="26" t="n">
        <f aca="false">G9*Assumptions!$B$8</f>
        <v>991.2</v>
      </c>
      <c r="H11" s="26" t="n">
        <f aca="false">H9*Assumptions!$B$8</f>
        <v>991.2</v>
      </c>
      <c r="I11" s="26" t="n">
        <f aca="false">I9*Assumptions!$B$8</f>
        <v>991.2</v>
      </c>
      <c r="J11" s="26" t="n">
        <f aca="false">J9*Assumptions!$B$8</f>
        <v>991.2</v>
      </c>
      <c r="K11" s="26" t="n">
        <f aca="false">K9*Assumptions!$B$8</f>
        <v>991.2</v>
      </c>
      <c r="L11" s="26" t="n">
        <f aca="false">L9*Assumptions!$B$8</f>
        <v>991.2</v>
      </c>
      <c r="M11" s="26" t="n">
        <f aca="false">M9*Assumptions!$B$8</f>
        <v>991.2</v>
      </c>
    </row>
    <row r="12" customFormat="false" ht="15" hidden="false" customHeight="false" outlineLevel="0" collapsed="false">
      <c r="A12" s="4" t="s">
        <v>64</v>
      </c>
      <c r="B12" s="27" t="n">
        <f aca="false">Assumptions!$B$9+Assumptions!$B$10</f>
        <v>4750</v>
      </c>
      <c r="C12" s="27" t="n">
        <f aca="false">Assumptions!$B$9+Assumptions!$B$10</f>
        <v>4750</v>
      </c>
      <c r="D12" s="27" t="n">
        <f aca="false">Assumptions!$B$9+Assumptions!$B$10</f>
        <v>4750</v>
      </c>
      <c r="E12" s="27" t="n">
        <f aca="false">Assumptions!$B$9+Assumptions!$B$10</f>
        <v>4750</v>
      </c>
      <c r="F12" s="27" t="n">
        <f aca="false">Assumptions!$B$9+Assumptions!$B$10</f>
        <v>4750</v>
      </c>
      <c r="G12" s="27" t="n">
        <f aca="false">Assumptions!$B$9+Assumptions!$B$10</f>
        <v>4750</v>
      </c>
      <c r="H12" s="27" t="n">
        <f aca="false">Assumptions!$B$9+Assumptions!$B$10</f>
        <v>4750</v>
      </c>
      <c r="I12" s="27" t="n">
        <f aca="false">Assumptions!$B$9+Assumptions!$B$10</f>
        <v>4750</v>
      </c>
      <c r="J12" s="27" t="n">
        <f aca="false">Assumptions!$B$9+Assumptions!$B$10</f>
        <v>4750</v>
      </c>
      <c r="K12" s="27" t="n">
        <f aca="false">Assumptions!$B$9+Assumptions!$B$10</f>
        <v>4750</v>
      </c>
      <c r="L12" s="27" t="n">
        <f aca="false">Assumptions!$B$9+Assumptions!$B$10</f>
        <v>4750</v>
      </c>
      <c r="M12" s="27" t="n">
        <f aca="false">Assumptions!$B$9+Assumptions!$B$10</f>
        <v>4750</v>
      </c>
    </row>
    <row r="13" customFormat="false" ht="15" hidden="false" customHeight="false" outlineLevel="0" collapsed="false">
      <c r="A13" s="4" t="s">
        <v>65</v>
      </c>
      <c r="B13" s="28" t="n">
        <f aca="false">IF(B4=1,Assumptions!$B$11,0)</f>
        <v>45000</v>
      </c>
      <c r="C13" s="28" t="n">
        <f aca="false">IF(C4=1,Assumptions!$B$11,0)</f>
        <v>0</v>
      </c>
      <c r="D13" s="28" t="n">
        <f aca="false">IF(D4=1,Assumptions!$B$11,0)</f>
        <v>0</v>
      </c>
      <c r="E13" s="28" t="n">
        <f aca="false">IF(E4=1,Assumptions!$B$11,0)</f>
        <v>0</v>
      </c>
      <c r="F13" s="28" t="n">
        <f aca="false">IF(F4=1,Assumptions!$B$11,0)</f>
        <v>0</v>
      </c>
      <c r="G13" s="28" t="n">
        <f aca="false">IF(G4=1,Assumptions!$B$11,0)</f>
        <v>0</v>
      </c>
      <c r="H13" s="28" t="n">
        <f aca="false">IF(H4=1,Assumptions!$B$11,0)</f>
        <v>0</v>
      </c>
      <c r="I13" s="28" t="n">
        <f aca="false">IF(I4=1,Assumptions!$B$11,0)</f>
        <v>0</v>
      </c>
      <c r="J13" s="28" t="n">
        <f aca="false">IF(J4=1,Assumptions!$B$11,0)</f>
        <v>0</v>
      </c>
      <c r="K13" s="28" t="n">
        <f aca="false">IF(K4=1,Assumptions!$B$11,0)</f>
        <v>0</v>
      </c>
      <c r="L13" s="28" t="n">
        <f aca="false">IF(L4=1,Assumptions!$B$11,0)</f>
        <v>0</v>
      </c>
      <c r="M13" s="28" t="n">
        <f aca="false">IF(M4=1,Assumptions!$B$11,0)</f>
        <v>0</v>
      </c>
    </row>
    <row r="14" customFormat="false" ht="15" hidden="false" customHeight="false" outlineLevel="0" collapsed="false">
      <c r="A14" s="4" t="s">
        <v>66</v>
      </c>
      <c r="B14" s="29" t="n">
        <f aca="false">SUM(B10:B13)</f>
        <v>51141.2</v>
      </c>
      <c r="C14" s="29" t="n">
        <f aca="false">SUM(C10:C13)</f>
        <v>6141.2</v>
      </c>
      <c r="D14" s="29" t="n">
        <f aca="false">SUM(D10:D13)</f>
        <v>6141.2</v>
      </c>
      <c r="E14" s="29" t="n">
        <f aca="false">SUM(E10:E13)</f>
        <v>6141.2</v>
      </c>
      <c r="F14" s="29" t="n">
        <f aca="false">SUM(F10:F13)</f>
        <v>6141.2</v>
      </c>
      <c r="G14" s="29" t="n">
        <f aca="false">SUM(G10:G13)</f>
        <v>6141.2</v>
      </c>
      <c r="H14" s="29" t="n">
        <f aca="false">SUM(H10:H13)</f>
        <v>6141.2</v>
      </c>
      <c r="I14" s="29" t="n">
        <f aca="false">SUM(I10:I13)</f>
        <v>6141.2</v>
      </c>
      <c r="J14" s="29" t="n">
        <f aca="false">SUM(J10:J13)</f>
        <v>6141.2</v>
      </c>
      <c r="K14" s="29" t="n">
        <f aca="false">SUM(K10:K13)</f>
        <v>6141.2</v>
      </c>
      <c r="L14" s="29" t="n">
        <f aca="false">SUM(L10:L13)</f>
        <v>6141.2</v>
      </c>
      <c r="M14" s="29" t="n">
        <f aca="false">SUM(M10:M13)</f>
        <v>6141.2</v>
      </c>
    </row>
    <row r="15" customFormat="false" ht="15" hidden="false" customHeight="false" outlineLevel="0" collapsed="false">
      <c r="A15" s="4" t="s">
        <v>67</v>
      </c>
      <c r="B15" s="29" t="n">
        <f aca="false">B9-B14</f>
        <v>-23141.2</v>
      </c>
      <c r="C15" s="29" t="n">
        <f aca="false">C9-C14</f>
        <v>21858.8</v>
      </c>
      <c r="D15" s="29" t="n">
        <f aca="false">D9-D14</f>
        <v>21858.8</v>
      </c>
      <c r="E15" s="29" t="n">
        <f aca="false">E9-E14</f>
        <v>21858.8</v>
      </c>
      <c r="F15" s="29" t="n">
        <f aca="false">F9-F14</f>
        <v>21858.8</v>
      </c>
      <c r="G15" s="29" t="n">
        <f aca="false">G9-G14</f>
        <v>21858.8</v>
      </c>
      <c r="H15" s="29" t="n">
        <f aca="false">H9-H14</f>
        <v>21858.8</v>
      </c>
      <c r="I15" s="29" t="n">
        <f aca="false">I9-I14</f>
        <v>21858.8</v>
      </c>
      <c r="J15" s="29" t="n">
        <f aca="false">J9-J14</f>
        <v>21858.8</v>
      </c>
      <c r="K15" s="29" t="n">
        <f aca="false">K9-K14</f>
        <v>21858.8</v>
      </c>
      <c r="L15" s="29" t="n">
        <f aca="false">L9-L14</f>
        <v>21858.8</v>
      </c>
      <c r="M15" s="29" t="n">
        <f aca="false">M9-M14</f>
        <v>21858.8</v>
      </c>
    </row>
    <row r="16" customFormat="false" ht="15" hidden="false" customHeight="false" outlineLevel="0" collapsed="false">
      <c r="A16" s="4" t="s">
        <v>68</v>
      </c>
      <c r="B16" s="29" t="n">
        <f aca="false">B15</f>
        <v>-23141.2</v>
      </c>
      <c r="C16" s="29" t="n">
        <f aca="false">B16+C15</f>
        <v>-1282.4</v>
      </c>
      <c r="D16" s="29" t="n">
        <f aca="false">C16+D15</f>
        <v>20576.4</v>
      </c>
      <c r="E16" s="29" t="n">
        <f aca="false">D16+E15</f>
        <v>42435.2</v>
      </c>
      <c r="F16" s="29" t="n">
        <f aca="false">E16+F15</f>
        <v>64294</v>
      </c>
      <c r="G16" s="29" t="n">
        <f aca="false">F16+G15</f>
        <v>86152.8</v>
      </c>
      <c r="H16" s="29" t="n">
        <f aca="false">G16+H15</f>
        <v>108011.6</v>
      </c>
      <c r="I16" s="29" t="n">
        <f aca="false">H16+I15</f>
        <v>129870.4</v>
      </c>
      <c r="J16" s="29" t="n">
        <f aca="false">I16+J15</f>
        <v>151729.2</v>
      </c>
      <c r="K16" s="29" t="n">
        <f aca="false">J16+K15</f>
        <v>173588</v>
      </c>
      <c r="L16" s="29" t="n">
        <f aca="false">K16+L15</f>
        <v>195446.8</v>
      </c>
      <c r="M16" s="29" t="n">
        <f aca="false">L16+M15</f>
        <v>217305.6</v>
      </c>
    </row>
    <row r="17" customFormat="false" ht="15" hidden="false" customHeight="false" outlineLevel="0" collapsed="false">
      <c r="A17" s="4" t="s">
        <v>69</v>
      </c>
      <c r="B17" s="26" t="n">
        <f aca="false">Assumptions!$B$12+B16</f>
        <v>176858.8</v>
      </c>
      <c r="C17" s="26" t="n">
        <f aca="false">Assumptions!$B$12+C16</f>
        <v>198717.6</v>
      </c>
      <c r="D17" s="26" t="n">
        <f aca="false">Assumptions!$B$12+D16</f>
        <v>220576.4</v>
      </c>
      <c r="E17" s="26" t="n">
        <f aca="false">Assumptions!$B$12+E16</f>
        <v>242435.2</v>
      </c>
      <c r="F17" s="26" t="n">
        <f aca="false">Assumptions!$B$12+F16</f>
        <v>264294</v>
      </c>
      <c r="G17" s="26" t="n">
        <f aca="false">Assumptions!$B$12+G16</f>
        <v>286152.8</v>
      </c>
      <c r="H17" s="26" t="n">
        <f aca="false">Assumptions!$B$12+H16</f>
        <v>308011.6</v>
      </c>
      <c r="I17" s="26" t="n">
        <f aca="false">Assumptions!$B$12+I16</f>
        <v>329870.4</v>
      </c>
      <c r="J17" s="26" t="n">
        <f aca="false">Assumptions!$B$12+J16</f>
        <v>351729.2</v>
      </c>
      <c r="K17" s="26" t="n">
        <f aca="false">Assumptions!$B$12+K16</f>
        <v>373588</v>
      </c>
      <c r="L17" s="26" t="n">
        <f aca="false">Assumptions!$B$12+L16</f>
        <v>395446.8</v>
      </c>
      <c r="M17" s="26" t="n">
        <f aca="false">Assumptions!$B$12+M16</f>
        <v>417305.6</v>
      </c>
    </row>
    <row r="18" customFormat="false" ht="15" hidden="false" customHeight="false" outlineLevel="0" collapsed="false">
      <c r="A18" s="4" t="s">
        <v>70</v>
      </c>
      <c r="B18" s="26" t="n">
        <f aca="false">Assumptions!$B$13+B16</f>
        <v>276858.8</v>
      </c>
      <c r="C18" s="26" t="n">
        <f aca="false">Assumptions!$B$13+C16</f>
        <v>298717.6</v>
      </c>
      <c r="D18" s="26" t="n">
        <f aca="false">Assumptions!$B$13+D16</f>
        <v>320576.4</v>
      </c>
      <c r="E18" s="26" t="n">
        <f aca="false">Assumptions!$B$13+E16</f>
        <v>342435.2</v>
      </c>
      <c r="F18" s="26" t="n">
        <f aca="false">Assumptions!$B$13+F16</f>
        <v>364294</v>
      </c>
      <c r="G18" s="26" t="n">
        <f aca="false">Assumptions!$B$13+G16</f>
        <v>386152.8</v>
      </c>
      <c r="H18" s="26" t="n">
        <f aca="false">Assumptions!$B$13+H16</f>
        <v>408011.6</v>
      </c>
      <c r="I18" s="26" t="n">
        <f aca="false">Assumptions!$B$13+I16</f>
        <v>429870.4</v>
      </c>
      <c r="J18" s="26" t="n">
        <f aca="false">Assumptions!$B$13+J16</f>
        <v>451729.2</v>
      </c>
      <c r="K18" s="26" t="n">
        <f aca="false">Assumptions!$B$13+K16</f>
        <v>473588</v>
      </c>
      <c r="L18" s="26" t="n">
        <f aca="false">Assumptions!$B$13+L16</f>
        <v>495446.8</v>
      </c>
      <c r="M18" s="26" t="n">
        <f aca="false">Assumptions!$B$13+M16</f>
        <v>517305.6</v>
      </c>
    </row>
    <row r="19" customFormat="false" ht="15" hidden="false" customHeight="false" outlineLevel="0" collapsed="false">
      <c r="A19" s="4" t="s">
        <v>71</v>
      </c>
      <c r="B19" s="22" t="n">
        <f aca="false">IF(B9&gt;=Assumptions!$B$14,1,0)</f>
        <v>0</v>
      </c>
      <c r="C19" s="22" t="n">
        <f aca="false">IF(C9&gt;=Assumptions!$B$14,1,0)</f>
        <v>0</v>
      </c>
      <c r="D19" s="22" t="n">
        <f aca="false">IF(D9&gt;=Assumptions!$B$14,1,0)</f>
        <v>0</v>
      </c>
      <c r="E19" s="22" t="n">
        <f aca="false">IF(E9&gt;=Assumptions!$B$14,1,0)</f>
        <v>0</v>
      </c>
      <c r="F19" s="22" t="n">
        <f aca="false">IF(F9&gt;=Assumptions!$B$14,1,0)</f>
        <v>0</v>
      </c>
      <c r="G19" s="22" t="n">
        <f aca="false">IF(G9&gt;=Assumptions!$B$14,1,0)</f>
        <v>0</v>
      </c>
      <c r="H19" s="22" t="n">
        <f aca="false">IF(H9&gt;=Assumptions!$B$14,1,0)</f>
        <v>0</v>
      </c>
      <c r="I19" s="22" t="n">
        <f aca="false">IF(I9&gt;=Assumptions!$B$14,1,0)</f>
        <v>0</v>
      </c>
      <c r="J19" s="22" t="n">
        <f aca="false">IF(J9&gt;=Assumptions!$B$14,1,0)</f>
        <v>0</v>
      </c>
      <c r="K19" s="22" t="n">
        <f aca="false">IF(K9&gt;=Assumptions!$B$14,1,0)</f>
        <v>0</v>
      </c>
      <c r="L19" s="22" t="n">
        <f aca="false">IF(L9&gt;=Assumptions!$B$14,1,0)</f>
        <v>0</v>
      </c>
      <c r="M19" s="22" t="n">
        <f aca="false">IF(M9&gt;=Assumptions!$B$14,1,0)</f>
        <v>0</v>
      </c>
    </row>
    <row r="20" customFormat="false" ht="15" hidden="false" customHeight="false" outlineLevel="0" collapsed="false">
      <c r="A20" s="4" t="s">
        <v>72</v>
      </c>
      <c r="B20" s="22" t="n">
        <f aca="false">IF(B17&lt;0,1,0)</f>
        <v>0</v>
      </c>
      <c r="C20" s="22" t="n">
        <f aca="false">IF(C17&lt;0,1,0)</f>
        <v>0</v>
      </c>
      <c r="D20" s="22" t="n">
        <f aca="false">IF(D17&lt;0,1,0)</f>
        <v>0</v>
      </c>
      <c r="E20" s="22" t="n">
        <f aca="false">IF(E17&lt;0,1,0)</f>
        <v>0</v>
      </c>
      <c r="F20" s="22" t="n">
        <f aca="false">IF(F17&lt;0,1,0)</f>
        <v>0</v>
      </c>
      <c r="G20" s="22" t="n">
        <f aca="false">IF(G17&lt;0,1,0)</f>
        <v>0</v>
      </c>
      <c r="H20" s="22" t="n">
        <f aca="false">IF(H17&lt;0,1,0)</f>
        <v>0</v>
      </c>
      <c r="I20" s="22" t="n">
        <f aca="false">IF(I17&lt;0,1,0)</f>
        <v>0</v>
      </c>
      <c r="J20" s="22" t="n">
        <f aca="false">IF(J17&lt;0,1,0)</f>
        <v>0</v>
      </c>
      <c r="K20" s="22" t="n">
        <f aca="false">IF(K17&lt;0,1,0)</f>
        <v>0</v>
      </c>
      <c r="L20" s="22" t="n">
        <f aca="false">IF(L17&lt;0,1,0)</f>
        <v>0</v>
      </c>
      <c r="M20" s="22" t="n">
        <f aca="false">IF(M17&lt;0,1,0)</f>
        <v>0</v>
      </c>
    </row>
    <row r="21" customFormat="false" ht="15" hidden="false" customHeight="false" outlineLevel="0" collapsed="false">
      <c r="A21" s="4" t="s">
        <v>73</v>
      </c>
      <c r="B21" s="22" t="n">
        <f aca="false">IF(B18&lt;0,1,0)</f>
        <v>0</v>
      </c>
      <c r="C21" s="22" t="n">
        <f aca="false">IF(C18&lt;0,1,0)</f>
        <v>0</v>
      </c>
      <c r="D21" s="22" t="n">
        <f aca="false">IF(D18&lt;0,1,0)</f>
        <v>0</v>
      </c>
      <c r="E21" s="22" t="n">
        <f aca="false">IF(E18&lt;0,1,0)</f>
        <v>0</v>
      </c>
      <c r="F21" s="22" t="n">
        <f aca="false">IF(F18&lt;0,1,0)</f>
        <v>0</v>
      </c>
      <c r="G21" s="22" t="n">
        <f aca="false">IF(G18&lt;0,1,0)</f>
        <v>0</v>
      </c>
      <c r="H21" s="22" t="n">
        <f aca="false">IF(H18&lt;0,1,0)</f>
        <v>0</v>
      </c>
      <c r="I21" s="22" t="n">
        <f aca="false">IF(I18&lt;0,1,0)</f>
        <v>0</v>
      </c>
      <c r="J21" s="22" t="n">
        <f aca="false">IF(J18&lt;0,1,0)</f>
        <v>0</v>
      </c>
      <c r="K21" s="22" t="n">
        <f aca="false">IF(K18&lt;0,1,0)</f>
        <v>0</v>
      </c>
      <c r="L21" s="22" t="n">
        <f aca="false">IF(L18&lt;0,1,0)</f>
        <v>0</v>
      </c>
      <c r="M21" s="22" t="n">
        <f aca="false">IF(M18&lt;0,1,0)</f>
        <v>0</v>
      </c>
    </row>
    <row r="23" customFormat="false" ht="15" hidden="false" customHeight="false" outlineLevel="0" collapsed="false">
      <c r="A23" s="30" t="s">
        <v>74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customFormat="false" ht="15" hidden="false" customHeight="false" outlineLevel="0" collapsed="false">
      <c r="A24" s="4" t="s">
        <v>75</v>
      </c>
      <c r="B24" s="16" t="str">
        <f aca="false">IFERROR(INDEX(B4:M4,MATCH(1,B19:M19,0)),"Not reached in 12 months")</f>
        <v>Not reached in 12 months</v>
      </c>
    </row>
    <row r="25" customFormat="false" ht="15" hidden="false" customHeight="false" outlineLevel="0" collapsed="false">
      <c r="A25" s="4" t="s">
        <v>76</v>
      </c>
      <c r="B25" s="31" t="str">
        <f aca="false">IFERROR(INDEX(B5:M5,MATCH(1,B19:M19,0)),"N/A")</f>
        <v>N/A</v>
      </c>
    </row>
    <row r="26" customFormat="false" ht="15" hidden="false" customHeight="false" outlineLevel="0" collapsed="false">
      <c r="A26" s="4" t="s">
        <v>77</v>
      </c>
      <c r="B26" s="16" t="str">
        <f aca="false">IFERROR(INDEX(B4:M4,MATCH(1,B20:M20,0)),"Stays solvent through month 12")</f>
        <v>Stays solvent through month 12</v>
      </c>
    </row>
    <row r="27" customFormat="false" ht="15" hidden="false" customHeight="false" outlineLevel="0" collapsed="false">
      <c r="A27" s="4" t="s">
        <v>78</v>
      </c>
      <c r="B27" s="31" t="str">
        <f aca="false">IFERROR(INDEX(B5:M5,MATCH(1,B20:M20,0)),"N/A")</f>
        <v>N/A</v>
      </c>
    </row>
    <row r="28" customFormat="false" ht="15" hidden="false" customHeight="false" outlineLevel="0" collapsed="false">
      <c r="A28" s="4" t="s">
        <v>79</v>
      </c>
      <c r="B28" s="16" t="str">
        <f aca="false">IFERROR(INDEX(B4:M4,MATCH(1,B21:M21,0)),"Stays solvent through month 12")</f>
        <v>Stays solvent through month 12</v>
      </c>
    </row>
    <row r="29" customFormat="false" ht="15" hidden="false" customHeight="false" outlineLevel="0" collapsed="false">
      <c r="A29" s="4" t="s">
        <v>80</v>
      </c>
      <c r="B29" s="31" t="str">
        <f aca="false">IFERROR(INDEX(B5:M5,MATCH(1,B21:M21,0)),"N/A")</f>
        <v>N/A</v>
      </c>
    </row>
  </sheetData>
  <mergeCells count="3">
    <mergeCell ref="A1:M1"/>
    <mergeCell ref="A2:M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24" hidden="false" customHeight="true" outlineLevel="0" collapsed="false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customFormat="false" ht="15" hidden="false" customHeight="false" outlineLevel="0" collapsed="false">
      <c r="A4" s="4" t="s">
        <v>56</v>
      </c>
      <c r="B4" s="22" t="n">
        <v>1</v>
      </c>
      <c r="C4" s="22" t="n">
        <v>2</v>
      </c>
      <c r="D4" s="22" t="n">
        <v>3</v>
      </c>
      <c r="E4" s="22" t="n">
        <v>4</v>
      </c>
      <c r="F4" s="22" t="n">
        <v>5</v>
      </c>
      <c r="G4" s="22" t="n">
        <v>6</v>
      </c>
      <c r="H4" s="22" t="n">
        <v>7</v>
      </c>
      <c r="I4" s="22" t="n">
        <v>8</v>
      </c>
      <c r="J4" s="22" t="n">
        <v>9</v>
      </c>
      <c r="K4" s="22" t="n">
        <v>10</v>
      </c>
      <c r="L4" s="22" t="n">
        <v>11</v>
      </c>
      <c r="M4" s="22" t="n">
        <v>12</v>
      </c>
    </row>
    <row r="5" customFormat="false" ht="15" hidden="false" customHeight="false" outlineLevel="0" collapsed="false">
      <c r="A5" s="4" t="s">
        <v>57</v>
      </c>
      <c r="B5" s="23" t="n">
        <f aca="false">EDATE(Assumptions!$B$5,B4)</f>
        <v>46284</v>
      </c>
      <c r="C5" s="23" t="n">
        <f aca="false">EDATE(Assumptions!$B$5,C4)</f>
        <v>46314</v>
      </c>
      <c r="D5" s="23" t="n">
        <f aca="false">EDATE(Assumptions!$B$5,D4)</f>
        <v>46345</v>
      </c>
      <c r="E5" s="23" t="n">
        <f aca="false">EDATE(Assumptions!$B$5,E4)</f>
        <v>46375</v>
      </c>
      <c r="F5" s="23" t="n">
        <f aca="false">EDATE(Assumptions!$B$5,F4)</f>
        <v>46406</v>
      </c>
      <c r="G5" s="23" t="n">
        <f aca="false">EDATE(Assumptions!$B$5,G4)</f>
        <v>46437</v>
      </c>
      <c r="H5" s="23" t="n">
        <f aca="false">EDATE(Assumptions!$B$5,H4)</f>
        <v>46465</v>
      </c>
      <c r="I5" s="23" t="n">
        <f aca="false">EDATE(Assumptions!$B$5,I4)</f>
        <v>46496</v>
      </c>
      <c r="J5" s="23" t="n">
        <f aca="false">EDATE(Assumptions!$B$5,J4)</f>
        <v>46526</v>
      </c>
      <c r="K5" s="23" t="n">
        <f aca="false">EDATE(Assumptions!$B$5,K4)</f>
        <v>46557</v>
      </c>
      <c r="L5" s="23" t="n">
        <f aca="false">EDATE(Assumptions!$B$5,L4)</f>
        <v>46587</v>
      </c>
      <c r="M5" s="23" t="n">
        <f aca="false">EDATE(Assumptions!$B$5,M4)</f>
        <v>46618</v>
      </c>
    </row>
    <row r="6" customFormat="false" ht="15" hidden="false" customHeight="false" outlineLevel="0" collapsed="false">
      <c r="A6" s="4" t="s">
        <v>58</v>
      </c>
      <c r="B6" s="24" t="n">
        <f aca="false">Assumptions!$B$29</f>
        <v>150</v>
      </c>
      <c r="C6" s="24" t="n">
        <f aca="false">Assumptions!$B$29</f>
        <v>150</v>
      </c>
      <c r="D6" s="24" t="n">
        <f aca="false">Assumptions!$B$29</f>
        <v>150</v>
      </c>
      <c r="E6" s="24" t="n">
        <f aca="false">Assumptions!$B$29</f>
        <v>150</v>
      </c>
      <c r="F6" s="24" t="n">
        <f aca="false">Assumptions!$B$29</f>
        <v>150</v>
      </c>
      <c r="G6" s="24" t="n">
        <f aca="false">Assumptions!$B$29</f>
        <v>150</v>
      </c>
      <c r="H6" s="24" t="n">
        <f aca="false">Assumptions!$B$29</f>
        <v>150</v>
      </c>
      <c r="I6" s="24" t="n">
        <f aca="false">Assumptions!$B$29</f>
        <v>150</v>
      </c>
      <c r="J6" s="24" t="n">
        <f aca="false">Assumptions!$B$29</f>
        <v>150</v>
      </c>
      <c r="K6" s="24" t="n">
        <f aca="false">Assumptions!$B$29</f>
        <v>150</v>
      </c>
      <c r="L6" s="24" t="n">
        <f aca="false">Assumptions!$B$29</f>
        <v>150</v>
      </c>
      <c r="M6" s="24" t="n">
        <f aca="false">Assumptions!$B$29</f>
        <v>150</v>
      </c>
    </row>
    <row r="7" customFormat="false" ht="15" hidden="false" customHeight="false" outlineLevel="0" collapsed="false">
      <c r="A7" s="4" t="s">
        <v>59</v>
      </c>
      <c r="B7" s="25" t="n">
        <f aca="false">Assumptions!$C$29</f>
        <v>0.002</v>
      </c>
      <c r="C7" s="25" t="n">
        <f aca="false">Assumptions!$C$29</f>
        <v>0.002</v>
      </c>
      <c r="D7" s="25" t="n">
        <f aca="false">Assumptions!$C$29</f>
        <v>0.002</v>
      </c>
      <c r="E7" s="25" t="n">
        <f aca="false">Assumptions!$C$29</f>
        <v>0.002</v>
      </c>
      <c r="F7" s="25" t="n">
        <f aca="false">Assumptions!$C$29</f>
        <v>0.002</v>
      </c>
      <c r="G7" s="25" t="n">
        <f aca="false">Assumptions!$C$29</f>
        <v>0.002</v>
      </c>
      <c r="H7" s="25" t="n">
        <f aca="false">Assumptions!$C$29</f>
        <v>0.002</v>
      </c>
      <c r="I7" s="25" t="n">
        <f aca="false">Assumptions!$C$29</f>
        <v>0.002</v>
      </c>
      <c r="J7" s="25" t="n">
        <f aca="false">Assumptions!$C$29</f>
        <v>0.002</v>
      </c>
      <c r="K7" s="25" t="n">
        <f aca="false">Assumptions!$C$29</f>
        <v>0.002</v>
      </c>
      <c r="L7" s="25" t="n">
        <f aca="false">Assumptions!$C$29</f>
        <v>0.002</v>
      </c>
      <c r="M7" s="25" t="n">
        <f aca="false">Assumptions!$C$29</f>
        <v>0.002</v>
      </c>
    </row>
    <row r="8" customFormat="false" ht="15" hidden="false" customHeight="false" outlineLevel="0" collapsed="false">
      <c r="A8" s="4" t="s">
        <v>60</v>
      </c>
      <c r="B8" s="15" t="n">
        <f aca="false">B6*B7</f>
        <v>0.3</v>
      </c>
      <c r="C8" s="15" t="n">
        <f aca="false">C6*C7</f>
        <v>0.3</v>
      </c>
      <c r="D8" s="15" t="n">
        <f aca="false">D6*D7</f>
        <v>0.3</v>
      </c>
      <c r="E8" s="15" t="n">
        <f aca="false">E6*E7</f>
        <v>0.3</v>
      </c>
      <c r="F8" s="15" t="n">
        <f aca="false">F6*F7</f>
        <v>0.3</v>
      </c>
      <c r="G8" s="15" t="n">
        <f aca="false">G6*G7</f>
        <v>0.3</v>
      </c>
      <c r="H8" s="15" t="n">
        <f aca="false">H6*H7</f>
        <v>0.3</v>
      </c>
      <c r="I8" s="15" t="n">
        <f aca="false">I6*I7</f>
        <v>0.3</v>
      </c>
      <c r="J8" s="15" t="n">
        <f aca="false">J6*J7</f>
        <v>0.3</v>
      </c>
      <c r="K8" s="15" t="n">
        <f aca="false">K6*K7</f>
        <v>0.3</v>
      </c>
      <c r="L8" s="15" t="n">
        <f aca="false">L6*L7</f>
        <v>0.3</v>
      </c>
      <c r="M8" s="15" t="n">
        <f aca="false">M6*M7</f>
        <v>0.3</v>
      </c>
    </row>
    <row r="9" customFormat="false" ht="15" hidden="false" customHeight="false" outlineLevel="0" collapsed="false">
      <c r="A9" s="4" t="s">
        <v>61</v>
      </c>
      <c r="B9" s="26" t="n">
        <f aca="false">B8*Assumptions!$B$6</f>
        <v>5250</v>
      </c>
      <c r="C9" s="26" t="n">
        <f aca="false">C8*Assumptions!$B$6</f>
        <v>5250</v>
      </c>
      <c r="D9" s="26" t="n">
        <f aca="false">D8*Assumptions!$B$6</f>
        <v>5250</v>
      </c>
      <c r="E9" s="26" t="n">
        <f aca="false">E8*Assumptions!$B$6</f>
        <v>5250</v>
      </c>
      <c r="F9" s="26" t="n">
        <f aca="false">F8*Assumptions!$B$6</f>
        <v>5250</v>
      </c>
      <c r="G9" s="26" t="n">
        <f aca="false">G8*Assumptions!$B$6</f>
        <v>5250</v>
      </c>
      <c r="H9" s="26" t="n">
        <f aca="false">H8*Assumptions!$B$6</f>
        <v>5250</v>
      </c>
      <c r="I9" s="26" t="n">
        <f aca="false">I8*Assumptions!$B$6</f>
        <v>5250</v>
      </c>
      <c r="J9" s="26" t="n">
        <f aca="false">J8*Assumptions!$B$6</f>
        <v>5250</v>
      </c>
      <c r="K9" s="26" t="n">
        <f aca="false">K8*Assumptions!$B$6</f>
        <v>5250</v>
      </c>
      <c r="L9" s="26" t="n">
        <f aca="false">L8*Assumptions!$B$6</f>
        <v>5250</v>
      </c>
      <c r="M9" s="26" t="n">
        <f aca="false">M8*Assumptions!$B$6</f>
        <v>5250</v>
      </c>
    </row>
    <row r="10" customFormat="false" ht="15" hidden="false" customHeight="false" outlineLevel="0" collapsed="false">
      <c r="A10" s="4" t="s">
        <v>62</v>
      </c>
      <c r="B10" s="26" t="n">
        <f aca="false">B8*Assumptions!$B$7</f>
        <v>75</v>
      </c>
      <c r="C10" s="26" t="n">
        <f aca="false">C8*Assumptions!$B$7</f>
        <v>75</v>
      </c>
      <c r="D10" s="26" t="n">
        <f aca="false">D8*Assumptions!$B$7</f>
        <v>75</v>
      </c>
      <c r="E10" s="26" t="n">
        <f aca="false">E8*Assumptions!$B$7</f>
        <v>75</v>
      </c>
      <c r="F10" s="26" t="n">
        <f aca="false">F8*Assumptions!$B$7</f>
        <v>75</v>
      </c>
      <c r="G10" s="26" t="n">
        <f aca="false">G8*Assumptions!$B$7</f>
        <v>75</v>
      </c>
      <c r="H10" s="26" t="n">
        <f aca="false">H8*Assumptions!$B$7</f>
        <v>75</v>
      </c>
      <c r="I10" s="26" t="n">
        <f aca="false">I8*Assumptions!$B$7</f>
        <v>75</v>
      </c>
      <c r="J10" s="26" t="n">
        <f aca="false">J8*Assumptions!$B$7</f>
        <v>75</v>
      </c>
      <c r="K10" s="26" t="n">
        <f aca="false">K8*Assumptions!$B$7</f>
        <v>75</v>
      </c>
      <c r="L10" s="26" t="n">
        <f aca="false">L8*Assumptions!$B$7</f>
        <v>75</v>
      </c>
      <c r="M10" s="26" t="n">
        <f aca="false">M8*Assumptions!$B$7</f>
        <v>75</v>
      </c>
    </row>
    <row r="11" customFormat="false" ht="15" hidden="false" customHeight="false" outlineLevel="0" collapsed="false">
      <c r="A11" s="4" t="s">
        <v>63</v>
      </c>
      <c r="B11" s="26" t="n">
        <f aca="false">B9*Assumptions!$B$8</f>
        <v>185.85</v>
      </c>
      <c r="C11" s="26" t="n">
        <f aca="false">C9*Assumptions!$B$8</f>
        <v>185.85</v>
      </c>
      <c r="D11" s="26" t="n">
        <f aca="false">D9*Assumptions!$B$8</f>
        <v>185.85</v>
      </c>
      <c r="E11" s="26" t="n">
        <f aca="false">E9*Assumptions!$B$8</f>
        <v>185.85</v>
      </c>
      <c r="F11" s="26" t="n">
        <f aca="false">F9*Assumptions!$B$8</f>
        <v>185.85</v>
      </c>
      <c r="G11" s="26" t="n">
        <f aca="false">G9*Assumptions!$B$8</f>
        <v>185.85</v>
      </c>
      <c r="H11" s="26" t="n">
        <f aca="false">H9*Assumptions!$B$8</f>
        <v>185.85</v>
      </c>
      <c r="I11" s="26" t="n">
        <f aca="false">I9*Assumptions!$B$8</f>
        <v>185.85</v>
      </c>
      <c r="J11" s="26" t="n">
        <f aca="false">J9*Assumptions!$B$8</f>
        <v>185.85</v>
      </c>
      <c r="K11" s="26" t="n">
        <f aca="false">K9*Assumptions!$B$8</f>
        <v>185.85</v>
      </c>
      <c r="L11" s="26" t="n">
        <f aca="false">L9*Assumptions!$B$8</f>
        <v>185.85</v>
      </c>
      <c r="M11" s="26" t="n">
        <f aca="false">M9*Assumptions!$B$8</f>
        <v>185.85</v>
      </c>
    </row>
    <row r="12" customFormat="false" ht="15" hidden="false" customHeight="false" outlineLevel="0" collapsed="false">
      <c r="A12" s="4" t="s">
        <v>64</v>
      </c>
      <c r="B12" s="27" t="n">
        <f aca="false">Assumptions!$B$9+Assumptions!$B$10</f>
        <v>4750</v>
      </c>
      <c r="C12" s="27" t="n">
        <f aca="false">Assumptions!$B$9+Assumptions!$B$10</f>
        <v>4750</v>
      </c>
      <c r="D12" s="27" t="n">
        <f aca="false">Assumptions!$B$9+Assumptions!$B$10</f>
        <v>4750</v>
      </c>
      <c r="E12" s="27" t="n">
        <f aca="false">Assumptions!$B$9+Assumptions!$B$10</f>
        <v>4750</v>
      </c>
      <c r="F12" s="27" t="n">
        <f aca="false">Assumptions!$B$9+Assumptions!$B$10</f>
        <v>4750</v>
      </c>
      <c r="G12" s="27" t="n">
        <f aca="false">Assumptions!$B$9+Assumptions!$B$10</f>
        <v>4750</v>
      </c>
      <c r="H12" s="27" t="n">
        <f aca="false">Assumptions!$B$9+Assumptions!$B$10</f>
        <v>4750</v>
      </c>
      <c r="I12" s="27" t="n">
        <f aca="false">Assumptions!$B$9+Assumptions!$B$10</f>
        <v>4750</v>
      </c>
      <c r="J12" s="27" t="n">
        <f aca="false">Assumptions!$B$9+Assumptions!$B$10</f>
        <v>4750</v>
      </c>
      <c r="K12" s="27" t="n">
        <f aca="false">Assumptions!$B$9+Assumptions!$B$10</f>
        <v>4750</v>
      </c>
      <c r="L12" s="27" t="n">
        <f aca="false">Assumptions!$B$9+Assumptions!$B$10</f>
        <v>4750</v>
      </c>
      <c r="M12" s="27" t="n">
        <f aca="false">Assumptions!$B$9+Assumptions!$B$10</f>
        <v>4750</v>
      </c>
    </row>
    <row r="13" customFormat="false" ht="15" hidden="false" customHeight="false" outlineLevel="0" collapsed="false">
      <c r="A13" s="4" t="s">
        <v>65</v>
      </c>
      <c r="B13" s="28" t="n">
        <f aca="false">IF(B4=1,Assumptions!$B$11,0)</f>
        <v>45000</v>
      </c>
      <c r="C13" s="28" t="n">
        <f aca="false">IF(C4=1,Assumptions!$B$11,0)</f>
        <v>0</v>
      </c>
      <c r="D13" s="28" t="n">
        <f aca="false">IF(D4=1,Assumptions!$B$11,0)</f>
        <v>0</v>
      </c>
      <c r="E13" s="28" t="n">
        <f aca="false">IF(E4=1,Assumptions!$B$11,0)</f>
        <v>0</v>
      </c>
      <c r="F13" s="28" t="n">
        <f aca="false">IF(F4=1,Assumptions!$B$11,0)</f>
        <v>0</v>
      </c>
      <c r="G13" s="28" t="n">
        <f aca="false">IF(G4=1,Assumptions!$B$11,0)</f>
        <v>0</v>
      </c>
      <c r="H13" s="28" t="n">
        <f aca="false">IF(H4=1,Assumptions!$B$11,0)</f>
        <v>0</v>
      </c>
      <c r="I13" s="28" t="n">
        <f aca="false">IF(I4=1,Assumptions!$B$11,0)</f>
        <v>0</v>
      </c>
      <c r="J13" s="28" t="n">
        <f aca="false">IF(J4=1,Assumptions!$B$11,0)</f>
        <v>0</v>
      </c>
      <c r="K13" s="28" t="n">
        <f aca="false">IF(K4=1,Assumptions!$B$11,0)</f>
        <v>0</v>
      </c>
      <c r="L13" s="28" t="n">
        <f aca="false">IF(L4=1,Assumptions!$B$11,0)</f>
        <v>0</v>
      </c>
      <c r="M13" s="28" t="n">
        <f aca="false">IF(M4=1,Assumptions!$B$11,0)</f>
        <v>0</v>
      </c>
    </row>
    <row r="14" customFormat="false" ht="15" hidden="false" customHeight="false" outlineLevel="0" collapsed="false">
      <c r="A14" s="4" t="s">
        <v>66</v>
      </c>
      <c r="B14" s="29" t="n">
        <f aca="false">SUM(B10:B13)</f>
        <v>50010.85</v>
      </c>
      <c r="C14" s="29" t="n">
        <f aca="false">SUM(C10:C13)</f>
        <v>5010.85</v>
      </c>
      <c r="D14" s="29" t="n">
        <f aca="false">SUM(D10:D13)</f>
        <v>5010.85</v>
      </c>
      <c r="E14" s="29" t="n">
        <f aca="false">SUM(E10:E13)</f>
        <v>5010.85</v>
      </c>
      <c r="F14" s="29" t="n">
        <f aca="false">SUM(F10:F13)</f>
        <v>5010.85</v>
      </c>
      <c r="G14" s="29" t="n">
        <f aca="false">SUM(G10:G13)</f>
        <v>5010.85</v>
      </c>
      <c r="H14" s="29" t="n">
        <f aca="false">SUM(H10:H13)</f>
        <v>5010.85</v>
      </c>
      <c r="I14" s="29" t="n">
        <f aca="false">SUM(I10:I13)</f>
        <v>5010.85</v>
      </c>
      <c r="J14" s="29" t="n">
        <f aca="false">SUM(J10:J13)</f>
        <v>5010.85</v>
      </c>
      <c r="K14" s="29" t="n">
        <f aca="false">SUM(K10:K13)</f>
        <v>5010.85</v>
      </c>
      <c r="L14" s="29" t="n">
        <f aca="false">SUM(L10:L13)</f>
        <v>5010.85</v>
      </c>
      <c r="M14" s="29" t="n">
        <f aca="false">SUM(M10:M13)</f>
        <v>5010.85</v>
      </c>
    </row>
    <row r="15" customFormat="false" ht="15" hidden="false" customHeight="false" outlineLevel="0" collapsed="false">
      <c r="A15" s="4" t="s">
        <v>67</v>
      </c>
      <c r="B15" s="29" t="n">
        <f aca="false">B9-B14</f>
        <v>-44760.85</v>
      </c>
      <c r="C15" s="29" t="n">
        <f aca="false">C9-C14</f>
        <v>239.15</v>
      </c>
      <c r="D15" s="29" t="n">
        <f aca="false">D9-D14</f>
        <v>239.15</v>
      </c>
      <c r="E15" s="29" t="n">
        <f aca="false">E9-E14</f>
        <v>239.15</v>
      </c>
      <c r="F15" s="29" t="n">
        <f aca="false">F9-F14</f>
        <v>239.15</v>
      </c>
      <c r="G15" s="29" t="n">
        <f aca="false">G9-G14</f>
        <v>239.15</v>
      </c>
      <c r="H15" s="29" t="n">
        <f aca="false">H9-H14</f>
        <v>239.15</v>
      </c>
      <c r="I15" s="29" t="n">
        <f aca="false">I9-I14</f>
        <v>239.15</v>
      </c>
      <c r="J15" s="29" t="n">
        <f aca="false">J9-J14</f>
        <v>239.15</v>
      </c>
      <c r="K15" s="29" t="n">
        <f aca="false">K9-K14</f>
        <v>239.15</v>
      </c>
      <c r="L15" s="29" t="n">
        <f aca="false">L9-L14</f>
        <v>239.15</v>
      </c>
      <c r="M15" s="29" t="n">
        <f aca="false">M9-M14</f>
        <v>239.15</v>
      </c>
    </row>
    <row r="16" customFormat="false" ht="15" hidden="false" customHeight="false" outlineLevel="0" collapsed="false">
      <c r="A16" s="4" t="s">
        <v>68</v>
      </c>
      <c r="B16" s="29" t="n">
        <f aca="false">B15</f>
        <v>-44760.85</v>
      </c>
      <c r="C16" s="29" t="n">
        <f aca="false">B16+C15</f>
        <v>-44521.7</v>
      </c>
      <c r="D16" s="29" t="n">
        <f aca="false">C16+D15</f>
        <v>-44282.55</v>
      </c>
      <c r="E16" s="29" t="n">
        <f aca="false">D16+E15</f>
        <v>-44043.4</v>
      </c>
      <c r="F16" s="29" t="n">
        <f aca="false">E16+F15</f>
        <v>-43804.25</v>
      </c>
      <c r="G16" s="29" t="n">
        <f aca="false">F16+G15</f>
        <v>-43565.1</v>
      </c>
      <c r="H16" s="29" t="n">
        <f aca="false">G16+H15</f>
        <v>-43325.95</v>
      </c>
      <c r="I16" s="29" t="n">
        <f aca="false">H16+I15</f>
        <v>-43086.8</v>
      </c>
      <c r="J16" s="29" t="n">
        <f aca="false">I16+J15</f>
        <v>-42847.65</v>
      </c>
      <c r="K16" s="29" t="n">
        <f aca="false">J16+K15</f>
        <v>-42608.5</v>
      </c>
      <c r="L16" s="29" t="n">
        <f aca="false">K16+L15</f>
        <v>-42369.35</v>
      </c>
      <c r="M16" s="29" t="n">
        <f aca="false">L16+M15</f>
        <v>-42130.2</v>
      </c>
    </row>
    <row r="17" customFormat="false" ht="15" hidden="false" customHeight="false" outlineLevel="0" collapsed="false">
      <c r="A17" s="4" t="s">
        <v>69</v>
      </c>
      <c r="B17" s="26" t="n">
        <f aca="false">Assumptions!$B$12+B16</f>
        <v>155239.15</v>
      </c>
      <c r="C17" s="26" t="n">
        <f aca="false">Assumptions!$B$12+C16</f>
        <v>155478.3</v>
      </c>
      <c r="D17" s="26" t="n">
        <f aca="false">Assumptions!$B$12+D16</f>
        <v>155717.45</v>
      </c>
      <c r="E17" s="26" t="n">
        <f aca="false">Assumptions!$B$12+E16</f>
        <v>155956.6</v>
      </c>
      <c r="F17" s="26" t="n">
        <f aca="false">Assumptions!$B$12+F16</f>
        <v>156195.75</v>
      </c>
      <c r="G17" s="26" t="n">
        <f aca="false">Assumptions!$B$12+G16</f>
        <v>156434.9</v>
      </c>
      <c r="H17" s="26" t="n">
        <f aca="false">Assumptions!$B$12+H16</f>
        <v>156674.05</v>
      </c>
      <c r="I17" s="26" t="n">
        <f aca="false">Assumptions!$B$12+I16</f>
        <v>156913.2</v>
      </c>
      <c r="J17" s="26" t="n">
        <f aca="false">Assumptions!$B$12+J16</f>
        <v>157152.35</v>
      </c>
      <c r="K17" s="26" t="n">
        <f aca="false">Assumptions!$B$12+K16</f>
        <v>157391.5</v>
      </c>
      <c r="L17" s="26" t="n">
        <f aca="false">Assumptions!$B$12+L16</f>
        <v>157630.65</v>
      </c>
      <c r="M17" s="26" t="n">
        <f aca="false">Assumptions!$B$12+M16</f>
        <v>157869.8</v>
      </c>
    </row>
    <row r="18" customFormat="false" ht="15" hidden="false" customHeight="false" outlineLevel="0" collapsed="false">
      <c r="A18" s="4" t="s">
        <v>70</v>
      </c>
      <c r="B18" s="26" t="n">
        <f aca="false">Assumptions!$B$13+B16</f>
        <v>255239.15</v>
      </c>
      <c r="C18" s="26" t="n">
        <f aca="false">Assumptions!$B$13+C16</f>
        <v>255478.3</v>
      </c>
      <c r="D18" s="26" t="n">
        <f aca="false">Assumptions!$B$13+D16</f>
        <v>255717.45</v>
      </c>
      <c r="E18" s="26" t="n">
        <f aca="false">Assumptions!$B$13+E16</f>
        <v>255956.6</v>
      </c>
      <c r="F18" s="26" t="n">
        <f aca="false">Assumptions!$B$13+F16</f>
        <v>256195.75</v>
      </c>
      <c r="G18" s="26" t="n">
        <f aca="false">Assumptions!$B$13+G16</f>
        <v>256434.9</v>
      </c>
      <c r="H18" s="26" t="n">
        <f aca="false">Assumptions!$B$13+H16</f>
        <v>256674.05</v>
      </c>
      <c r="I18" s="26" t="n">
        <f aca="false">Assumptions!$B$13+I16</f>
        <v>256913.2</v>
      </c>
      <c r="J18" s="26" t="n">
        <f aca="false">Assumptions!$B$13+J16</f>
        <v>257152.35</v>
      </c>
      <c r="K18" s="26" t="n">
        <f aca="false">Assumptions!$B$13+K16</f>
        <v>257391.5</v>
      </c>
      <c r="L18" s="26" t="n">
        <f aca="false">Assumptions!$B$13+L16</f>
        <v>257630.65</v>
      </c>
      <c r="M18" s="26" t="n">
        <f aca="false">Assumptions!$B$13+M16</f>
        <v>257869.8</v>
      </c>
    </row>
    <row r="19" customFormat="false" ht="15" hidden="false" customHeight="false" outlineLevel="0" collapsed="false">
      <c r="A19" s="4" t="s">
        <v>71</v>
      </c>
      <c r="B19" s="22" t="n">
        <f aca="false">IF(B9&gt;=Assumptions!$B$14,1,0)</f>
        <v>0</v>
      </c>
      <c r="C19" s="22" t="n">
        <f aca="false">IF(C9&gt;=Assumptions!$B$14,1,0)</f>
        <v>0</v>
      </c>
      <c r="D19" s="22" t="n">
        <f aca="false">IF(D9&gt;=Assumptions!$B$14,1,0)</f>
        <v>0</v>
      </c>
      <c r="E19" s="22" t="n">
        <f aca="false">IF(E9&gt;=Assumptions!$B$14,1,0)</f>
        <v>0</v>
      </c>
      <c r="F19" s="22" t="n">
        <f aca="false">IF(F9&gt;=Assumptions!$B$14,1,0)</f>
        <v>0</v>
      </c>
      <c r="G19" s="22" t="n">
        <f aca="false">IF(G9&gt;=Assumptions!$B$14,1,0)</f>
        <v>0</v>
      </c>
      <c r="H19" s="22" t="n">
        <f aca="false">IF(H9&gt;=Assumptions!$B$14,1,0)</f>
        <v>0</v>
      </c>
      <c r="I19" s="22" t="n">
        <f aca="false">IF(I9&gt;=Assumptions!$B$14,1,0)</f>
        <v>0</v>
      </c>
      <c r="J19" s="22" t="n">
        <f aca="false">IF(J9&gt;=Assumptions!$B$14,1,0)</f>
        <v>0</v>
      </c>
      <c r="K19" s="22" t="n">
        <f aca="false">IF(K9&gt;=Assumptions!$B$14,1,0)</f>
        <v>0</v>
      </c>
      <c r="L19" s="22" t="n">
        <f aca="false">IF(L9&gt;=Assumptions!$B$14,1,0)</f>
        <v>0</v>
      </c>
      <c r="M19" s="22" t="n">
        <f aca="false">IF(M9&gt;=Assumptions!$B$14,1,0)</f>
        <v>0</v>
      </c>
    </row>
    <row r="20" customFormat="false" ht="15" hidden="false" customHeight="false" outlineLevel="0" collapsed="false">
      <c r="A20" s="4" t="s">
        <v>72</v>
      </c>
      <c r="B20" s="22" t="n">
        <f aca="false">IF(B17&lt;0,1,0)</f>
        <v>0</v>
      </c>
      <c r="C20" s="22" t="n">
        <f aca="false">IF(C17&lt;0,1,0)</f>
        <v>0</v>
      </c>
      <c r="D20" s="22" t="n">
        <f aca="false">IF(D17&lt;0,1,0)</f>
        <v>0</v>
      </c>
      <c r="E20" s="22" t="n">
        <f aca="false">IF(E17&lt;0,1,0)</f>
        <v>0</v>
      </c>
      <c r="F20" s="22" t="n">
        <f aca="false">IF(F17&lt;0,1,0)</f>
        <v>0</v>
      </c>
      <c r="G20" s="22" t="n">
        <f aca="false">IF(G17&lt;0,1,0)</f>
        <v>0</v>
      </c>
      <c r="H20" s="22" t="n">
        <f aca="false">IF(H17&lt;0,1,0)</f>
        <v>0</v>
      </c>
      <c r="I20" s="22" t="n">
        <f aca="false">IF(I17&lt;0,1,0)</f>
        <v>0</v>
      </c>
      <c r="J20" s="22" t="n">
        <f aca="false">IF(J17&lt;0,1,0)</f>
        <v>0</v>
      </c>
      <c r="K20" s="22" t="n">
        <f aca="false">IF(K17&lt;0,1,0)</f>
        <v>0</v>
      </c>
      <c r="L20" s="22" t="n">
        <f aca="false">IF(L17&lt;0,1,0)</f>
        <v>0</v>
      </c>
      <c r="M20" s="22" t="n">
        <f aca="false">IF(M17&lt;0,1,0)</f>
        <v>0</v>
      </c>
    </row>
    <row r="21" customFormat="false" ht="15" hidden="false" customHeight="false" outlineLevel="0" collapsed="false">
      <c r="A21" s="4" t="s">
        <v>73</v>
      </c>
      <c r="B21" s="22" t="n">
        <f aca="false">IF(B18&lt;0,1,0)</f>
        <v>0</v>
      </c>
      <c r="C21" s="22" t="n">
        <f aca="false">IF(C18&lt;0,1,0)</f>
        <v>0</v>
      </c>
      <c r="D21" s="22" t="n">
        <f aca="false">IF(D18&lt;0,1,0)</f>
        <v>0</v>
      </c>
      <c r="E21" s="22" t="n">
        <f aca="false">IF(E18&lt;0,1,0)</f>
        <v>0</v>
      </c>
      <c r="F21" s="22" t="n">
        <f aca="false">IF(F18&lt;0,1,0)</f>
        <v>0</v>
      </c>
      <c r="G21" s="22" t="n">
        <f aca="false">IF(G18&lt;0,1,0)</f>
        <v>0</v>
      </c>
      <c r="H21" s="22" t="n">
        <f aca="false">IF(H18&lt;0,1,0)</f>
        <v>0</v>
      </c>
      <c r="I21" s="22" t="n">
        <f aca="false">IF(I18&lt;0,1,0)</f>
        <v>0</v>
      </c>
      <c r="J21" s="22" t="n">
        <f aca="false">IF(J18&lt;0,1,0)</f>
        <v>0</v>
      </c>
      <c r="K21" s="22" t="n">
        <f aca="false">IF(K18&lt;0,1,0)</f>
        <v>0</v>
      </c>
      <c r="L21" s="22" t="n">
        <f aca="false">IF(L18&lt;0,1,0)</f>
        <v>0</v>
      </c>
      <c r="M21" s="22" t="n">
        <f aca="false">IF(M18&lt;0,1,0)</f>
        <v>0</v>
      </c>
    </row>
    <row r="23" customFormat="false" ht="15" hidden="false" customHeight="false" outlineLevel="0" collapsed="false">
      <c r="A23" s="30" t="s">
        <v>74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customFormat="false" ht="15" hidden="false" customHeight="false" outlineLevel="0" collapsed="false">
      <c r="A24" s="4" t="s">
        <v>75</v>
      </c>
      <c r="B24" s="16" t="str">
        <f aca="false">IFERROR(INDEX(B4:M4,MATCH(1,B19:M19,0)),"Not reached in 12 months")</f>
        <v>Not reached in 12 months</v>
      </c>
    </row>
    <row r="25" customFormat="false" ht="15" hidden="false" customHeight="false" outlineLevel="0" collapsed="false">
      <c r="A25" s="4" t="s">
        <v>76</v>
      </c>
      <c r="B25" s="31" t="str">
        <f aca="false">IFERROR(INDEX(B5:M5,MATCH(1,B19:M19,0)),"N/A")</f>
        <v>N/A</v>
      </c>
    </row>
    <row r="26" customFormat="false" ht="15" hidden="false" customHeight="false" outlineLevel="0" collapsed="false">
      <c r="A26" s="4" t="s">
        <v>77</v>
      </c>
      <c r="B26" s="16" t="str">
        <f aca="false">IFERROR(INDEX(B4:M4,MATCH(1,B20:M20,0)),"Stays solvent through month 12")</f>
        <v>Stays solvent through month 12</v>
      </c>
    </row>
    <row r="27" customFormat="false" ht="15" hidden="false" customHeight="false" outlineLevel="0" collapsed="false">
      <c r="A27" s="4" t="s">
        <v>78</v>
      </c>
      <c r="B27" s="31" t="str">
        <f aca="false">IFERROR(INDEX(B5:M5,MATCH(1,B20:M20,0)),"N/A")</f>
        <v>N/A</v>
      </c>
    </row>
    <row r="28" customFormat="false" ht="15" hidden="false" customHeight="false" outlineLevel="0" collapsed="false">
      <c r="A28" s="4" t="s">
        <v>79</v>
      </c>
      <c r="B28" s="16" t="str">
        <f aca="false">IFERROR(INDEX(B4:M4,MATCH(1,B21:M21,0)),"Stays solvent through month 12")</f>
        <v>Stays solvent through month 12</v>
      </c>
    </row>
    <row r="29" customFormat="false" ht="15" hidden="false" customHeight="false" outlineLevel="0" collapsed="false">
      <c r="A29" s="4" t="s">
        <v>80</v>
      </c>
      <c r="B29" s="31" t="str">
        <f aca="false">IFERROR(INDEX(B5:M5,MATCH(1,B21:M21,0)),"N/A")</f>
        <v>N/A</v>
      </c>
    </row>
  </sheetData>
  <mergeCells count="3">
    <mergeCell ref="A1:M1"/>
    <mergeCell ref="A2:M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20" t="s">
        <v>83</v>
      </c>
      <c r="B1" s="20"/>
      <c r="C1" s="20"/>
      <c r="D1" s="20"/>
      <c r="E1" s="20"/>
      <c r="F1" s="20"/>
      <c r="G1" s="20"/>
    </row>
    <row r="2" customFormat="false" ht="24" hidden="false" customHeight="true" outlineLevel="0" collapsed="false">
      <c r="A2" s="21" t="s">
        <v>84</v>
      </c>
      <c r="B2" s="21"/>
      <c r="C2" s="21"/>
      <c r="D2" s="21"/>
      <c r="E2" s="21"/>
      <c r="F2" s="21"/>
      <c r="G2" s="21"/>
    </row>
    <row r="4" customFormat="false" ht="31.5" hidden="false" customHeight="true" outlineLevel="0" collapsed="false">
      <c r="A4" s="32" t="s">
        <v>37</v>
      </c>
      <c r="B4" s="32" t="s">
        <v>85</v>
      </c>
      <c r="C4" s="32" t="s">
        <v>86</v>
      </c>
      <c r="D4" s="32" t="s">
        <v>87</v>
      </c>
      <c r="E4" s="32" t="s">
        <v>86</v>
      </c>
      <c r="F4" s="32" t="s">
        <v>88</v>
      </c>
      <c r="G4" s="32" t="s">
        <v>86</v>
      </c>
    </row>
    <row r="5" customFormat="false" ht="15" hidden="false" customHeight="false" outlineLevel="0" collapsed="false">
      <c r="A5" s="16" t="s">
        <v>47</v>
      </c>
      <c r="B5" s="33" t="str">
        <f aca="false">Base!B24</f>
        <v>Not reached in 12 months</v>
      </c>
      <c r="C5" s="23" t="str">
        <f aca="false">Base!B25</f>
        <v>N/A</v>
      </c>
      <c r="D5" s="33" t="str">
        <f aca="false">Base!B26</f>
        <v>Stays solvent through month 12</v>
      </c>
      <c r="E5" s="23" t="str">
        <f aca="false">Base!B27</f>
        <v>N/A</v>
      </c>
      <c r="F5" s="33" t="str">
        <f aca="false">Base!B28</f>
        <v>Stays solvent through month 12</v>
      </c>
      <c r="G5" s="23" t="str">
        <f aca="false">Base!B29</f>
        <v>N/A</v>
      </c>
    </row>
    <row r="6" customFormat="false" ht="15" hidden="false" customHeight="false" outlineLevel="0" collapsed="false">
      <c r="A6" s="16" t="s">
        <v>49</v>
      </c>
      <c r="B6" s="33" t="str">
        <f aca="false">Slow!B24</f>
        <v>Not reached in 12 months</v>
      </c>
      <c r="C6" s="23" t="str">
        <f aca="false">Slow!B25</f>
        <v>N/A</v>
      </c>
      <c r="D6" s="33" t="str">
        <f aca="false">Slow!B26</f>
        <v>Stays solvent through month 12</v>
      </c>
      <c r="E6" s="23" t="str">
        <f aca="false">Slow!B27</f>
        <v>N/A</v>
      </c>
      <c r="F6" s="33" t="str">
        <f aca="false">Slow!B28</f>
        <v>Stays solvent through month 12</v>
      </c>
      <c r="G6" s="23" t="str">
        <f aca="false">Slow!B29</f>
        <v>N/A</v>
      </c>
    </row>
    <row r="7" customFormat="false" ht="15" hidden="false" customHeight="false" outlineLevel="0" collapsed="false">
      <c r="A7" s="16" t="s">
        <v>51</v>
      </c>
      <c r="B7" s="33" t="str">
        <f aca="false">Dead!B24</f>
        <v>Not reached in 12 months</v>
      </c>
      <c r="C7" s="23" t="str">
        <f aca="false">Dead!B25</f>
        <v>N/A</v>
      </c>
      <c r="D7" s="33" t="str">
        <f aca="false">Dead!B26</f>
        <v>Stays solvent through month 12</v>
      </c>
      <c r="E7" s="23" t="str">
        <f aca="false">Dead!B27</f>
        <v>N/A</v>
      </c>
      <c r="F7" s="33" t="str">
        <f aca="false">Dead!B28</f>
        <v>Stays solvent through month 12</v>
      </c>
      <c r="G7" s="23" t="str">
        <f aca="false">Dead!B29</f>
        <v>N/A</v>
      </c>
    </row>
    <row r="9" customFormat="false" ht="39.75" hidden="false" customHeight="true" outlineLevel="0" collapsed="false">
      <c r="A9" s="19" t="s">
        <v>89</v>
      </c>
      <c r="B9" s="19"/>
      <c r="C9" s="19"/>
      <c r="D9" s="19"/>
      <c r="E9" s="19"/>
      <c r="F9" s="19"/>
      <c r="G9" s="19"/>
    </row>
  </sheetData>
  <mergeCells count="3">
    <mergeCell ref="A1:G1"/>
    <mergeCell ref="A2:G2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2026-08-19T11:39:33Z</dcterms:created>
  <dc:creator>openpyxl</dc:creator>
  <dc:description/>
  <dc:language>en-US</dc:language>
  <cp:lastModifiedBy/>
  <dcterms:modified xsi:type="dcterms:W3CDTF">2026-08-19T11:39:33Z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